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European Markets" sheetId="2" state="visible" r:id="rId4"/>
    <sheet name="Italian-Specific" sheetId="3" state="visible" r:id="rId5"/>
    <sheet name="Calibrated Coefficients" sheetId="4" state="visible" r:id="rId6"/>
    <sheet name="Sources &amp; Citations" sheetId="5" state="visible" r:id="rId7"/>
    <sheet name="Old vs New Calibration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5" authorId="0">
      <text>
        <r>
          <rPr>
            <sz val="10"/>
            <rFont val="Arial"/>
            <family val="2"/>
          </rPr>
          <t xml:space="preserve">Source: ARERA TIDE, Delibera 345/2023/R/eel, 26 July 2023</t>
        </r>
      </text>
    </comment>
    <comment ref="B8" authorId="0">
      <text>
        <r>
          <rPr>
            <sz val="10"/>
            <rFont val="Arial"/>
            <family val="2"/>
          </rPr>
          <t xml:space="preserve">Source: ENTSO-E PICASSO project documentation; Synertics 2024 review</t>
        </r>
      </text>
    </comment>
    <comment ref="B9" authorId="0">
      <text>
        <r>
          <rPr>
            <sz val="10"/>
            <rFont val="Arial"/>
            <family val="2"/>
          </rPr>
          <t xml:space="preserve">Source: Terna 'Allegato A.83 - Meccanismo di approvvigionamento FCR', download.terna.it</t>
        </r>
      </text>
    </comment>
    <comment ref="B10" authorId="0">
      <text>
        <r>
          <rPr>
            <sz val="10"/>
            <rFont val="Arial"/>
            <family val="2"/>
          </rPr>
          <t xml:space="preserve">Source: ARERA TIDE, Delibera 345/2023/R/eel, 26 July 2023</t>
        </r>
      </text>
    </comment>
    <comment ref="B11" authorId="0">
      <text>
        <r>
          <rPr>
            <sz val="10"/>
            <rFont val="Arial"/>
            <family val="2"/>
          </rPr>
          <t xml:space="preserve">Source: Magnus Energy 'Developments in balancing and capacity markets', Nov 2025</t>
        </r>
      </text>
    </comment>
    <comment ref="B12" authorId="0">
      <text>
        <r>
          <rPr>
            <sz val="10"/>
            <rFont val="Arial"/>
            <family val="2"/>
          </rPr>
          <t xml:space="preserve">Source: ACER CHEST database, volume-weighted aFRR prices 2022</t>
        </r>
      </text>
    </comment>
    <comment ref="B13" authorId="0">
      <text>
        <r>
          <rPr>
            <sz val="10"/>
            <rFont val="Arial"/>
            <family val="2"/>
          </rPr>
          <t xml:space="preserve">Source: Terna 'Report on Balancing 2022-2023', download.terna.it</t>
        </r>
      </text>
    </comment>
    <comment ref="B14" authorId="0">
      <text>
        <r>
          <rPr>
            <sz val="10"/>
            <rFont val="Arial"/>
            <family val="2"/>
          </rPr>
          <t xml:space="preserve">Source: ENTSO-E PICASSO project documentation; Synertics 2024 review</t>
        </r>
      </text>
    </comment>
    <comment ref="B15" authorId="0">
      <text>
        <r>
          <rPr>
            <sz val="10"/>
            <rFont val="Arial"/>
            <family val="2"/>
          </rPr>
          <t xml:space="preserve">Source: ARERA TIDE, Delibera 345/2023/R/eel, 26 July 2023</t>
        </r>
      </text>
    </comment>
    <comment ref="B16" authorId="0">
      <text>
        <r>
          <rPr>
            <sz val="10"/>
            <rFont val="Arial"/>
            <family val="2"/>
          </rPr>
          <t xml:space="preserve">Source: Montel 'PICASSO and Its Problems: Italian Imbalance Issues', Mar 2024</t>
        </r>
      </text>
    </comment>
    <comment ref="B18" authorId="0">
      <text>
        <r>
          <rPr>
            <sz val="10"/>
            <rFont val="Arial"/>
            <family val="2"/>
          </rPr>
          <t xml:space="preserve">Source: ARERA TIDE, Delibera 345/2023/R/eel, 26 July 2023</t>
        </r>
      </text>
    </comment>
    <comment ref="C5" authorId="0">
      <text>
        <r>
          <rPr>
            <sz val="10"/>
            <rFont val="Arial"/>
            <family val="2"/>
          </rPr>
          <t xml:space="preserve">Source: ARERA TIDE, Delibera 345/2023/R/eel, 26 July 2023</t>
        </r>
      </text>
    </comment>
    <comment ref="C8" authorId="0">
      <text>
        <r>
          <rPr>
            <sz val="10"/>
            <rFont val="Arial"/>
            <family val="2"/>
          </rPr>
          <t xml:space="preserve">Source: ENTSO-E PICASSO project documentation; Synertics 2024 review</t>
        </r>
      </text>
    </comment>
    <comment ref="C9" authorId="0">
      <text>
        <r>
          <rPr>
            <sz val="10"/>
            <rFont val="Arial"/>
            <family val="2"/>
          </rPr>
          <t xml:space="preserve">Source: Terna 'Allegato A.83 - Meccanismo di approvvigionamento FCR', download.terna.it</t>
        </r>
      </text>
    </comment>
    <comment ref="C10" authorId="0">
      <text>
        <r>
          <rPr>
            <sz val="10"/>
            <rFont val="Arial"/>
            <family val="2"/>
          </rPr>
          <t xml:space="preserve">Source: ARERA TIDE, Delibera 345/2023/R/eel, 26 July 2023</t>
        </r>
      </text>
    </comment>
    <comment ref="C11" authorId="0">
      <text>
        <r>
          <rPr>
            <sz val="10"/>
            <rFont val="Arial"/>
            <family val="2"/>
          </rPr>
          <t xml:space="preserve">Source: Magnus Energy 'Developments in balancing and capacity markets', Nov 2025</t>
        </r>
      </text>
    </comment>
    <comment ref="C12" authorId="0">
      <text>
        <r>
          <rPr>
            <sz val="10"/>
            <rFont val="Arial"/>
            <family val="2"/>
          </rPr>
          <t xml:space="preserve">Source: ACER CHEST database, volume-weighted aFRR prices 2022</t>
        </r>
      </text>
    </comment>
    <comment ref="C13" authorId="0">
      <text>
        <r>
          <rPr>
            <sz val="10"/>
            <rFont val="Arial"/>
            <family val="2"/>
          </rPr>
          <t xml:space="preserve">Source: Terna 'Report on Balancing 2022-2023', download.terna.it</t>
        </r>
      </text>
    </comment>
    <comment ref="C14" authorId="0">
      <text>
        <r>
          <rPr>
            <sz val="10"/>
            <rFont val="Arial"/>
            <family val="2"/>
          </rPr>
          <t xml:space="preserve">Source: ENTSO-E PICASSO project documentation; Synertics 2024 review</t>
        </r>
      </text>
    </comment>
    <comment ref="C15" authorId="0">
      <text>
        <r>
          <rPr>
            <sz val="10"/>
            <rFont val="Arial"/>
            <family val="2"/>
          </rPr>
          <t xml:space="preserve">Source: ARERA TIDE, Delibera 345/2023/R/eel, 26 July 2023</t>
        </r>
      </text>
    </comment>
    <comment ref="C16" authorId="0">
      <text>
        <r>
          <rPr>
            <sz val="10"/>
            <rFont val="Arial"/>
            <family val="2"/>
          </rPr>
          <t xml:space="preserve">Source: Montel 'PICASSO and Its Problems: Italian Imbalance Issues', Mar 2024</t>
        </r>
      </text>
    </comment>
    <comment ref="C18" authorId="0">
      <text>
        <r>
          <rPr>
            <sz val="10"/>
            <rFont val="Arial"/>
            <family val="2"/>
          </rPr>
          <t xml:space="preserve">Source: ARERA TIDE, Delibera 345/2023/R/eel, 26 July 2023</t>
        </r>
      </text>
    </comment>
    <comment ref="D5" authorId="0">
      <text>
        <r>
          <rPr>
            <sz val="10"/>
            <rFont val="Arial"/>
            <family val="2"/>
          </rPr>
          <t xml:space="preserve">Source: ARERA TIDE, Delibera 345/2023/R/eel, 26 July 2023</t>
        </r>
      </text>
    </comment>
    <comment ref="D8" authorId="0">
      <text>
        <r>
          <rPr>
            <sz val="10"/>
            <rFont val="Arial"/>
            <family val="2"/>
          </rPr>
          <t xml:space="preserve">Source: ENTSO-E PICASSO project documentation; Synertics 2024 review</t>
        </r>
      </text>
    </comment>
    <comment ref="D9" authorId="0">
      <text>
        <r>
          <rPr>
            <sz val="10"/>
            <rFont val="Arial"/>
            <family val="2"/>
          </rPr>
          <t xml:space="preserve">Source: Terna 'Allegato A.83 - Meccanismo di approvvigionamento FCR', download.terna.it</t>
        </r>
      </text>
    </comment>
    <comment ref="D10" authorId="0">
      <text>
        <r>
          <rPr>
            <sz val="10"/>
            <rFont val="Arial"/>
            <family val="2"/>
          </rPr>
          <t xml:space="preserve">Source: ARERA TIDE, Delibera 345/2023/R/eel, 26 July 2023</t>
        </r>
      </text>
    </comment>
    <comment ref="D11" authorId="0">
      <text>
        <r>
          <rPr>
            <sz val="10"/>
            <rFont val="Arial"/>
            <family val="2"/>
          </rPr>
          <t xml:space="preserve">Source: Magnus Energy 'Developments in balancing and capacity markets', Nov 2025</t>
        </r>
      </text>
    </comment>
    <comment ref="D12" authorId="0">
      <text>
        <r>
          <rPr>
            <sz val="10"/>
            <rFont val="Arial"/>
            <family val="2"/>
          </rPr>
          <t xml:space="preserve">Source: ACER CHEST database, volume-weighted aFRR prices 2022</t>
        </r>
      </text>
    </comment>
    <comment ref="D13" authorId="0">
      <text>
        <r>
          <rPr>
            <sz val="10"/>
            <rFont val="Arial"/>
            <family val="2"/>
          </rPr>
          <t xml:space="preserve">Source: Terna 'Report on Balancing 2022-2023', download.terna.it</t>
        </r>
      </text>
    </comment>
    <comment ref="D14" authorId="0">
      <text>
        <r>
          <rPr>
            <sz val="10"/>
            <rFont val="Arial"/>
            <family val="2"/>
          </rPr>
          <t xml:space="preserve">Source: ENTSO-E PICASSO project documentation; Synertics 2024 review</t>
        </r>
      </text>
    </comment>
    <comment ref="D15" authorId="0">
      <text>
        <r>
          <rPr>
            <sz val="10"/>
            <rFont val="Arial"/>
            <family val="2"/>
          </rPr>
          <t xml:space="preserve">Source: ARERA TIDE, Delibera 345/2023/R/eel, 26 July 2023</t>
        </r>
      </text>
    </comment>
    <comment ref="D16" authorId="0">
      <text>
        <r>
          <rPr>
            <sz val="10"/>
            <rFont val="Arial"/>
            <family val="2"/>
          </rPr>
          <t xml:space="preserve">Source: Montel 'PICASSO and Its Problems: Italian Imbalance Issues', Mar 2024</t>
        </r>
      </text>
    </comment>
    <comment ref="D18" authorId="0">
      <text>
        <r>
          <rPr>
            <sz val="10"/>
            <rFont val="Arial"/>
            <family val="2"/>
          </rPr>
          <t xml:space="preserve">Source: ARERA TIDE, Delibera 345/2023/R/eel, 26 July 2023</t>
        </r>
      </text>
    </comment>
  </commentList>
</comments>
</file>

<file path=xl/sharedStrings.xml><?xml version="1.0" encoding="utf-8"?>
<sst xmlns="http://schemas.openxmlformats.org/spreadsheetml/2006/main" count="372" uniqueCount="318">
  <si>
    <t xml:space="preserve">Italian Electricity Ancillary-Services Markets
Reference Workbook for the BESS PPO vs MILP Benchmark Study</t>
  </si>
  <si>
    <t xml:space="preserve">Author</t>
  </si>
  <si>
    <t xml:space="preserve">Lorenzo Giannuzzo</t>
  </si>
  <si>
    <t xml:space="preserve">Affiliation</t>
  </si>
  <si>
    <t xml:space="preserve">Energy Center Lab, DENERG, Politecnico di Torino</t>
  </si>
  <si>
    <t xml:space="preserve">Supervisor</t>
  </si>
  <si>
    <t xml:space="preserve">Prof. Andrea Lanzini</t>
  </si>
  <si>
    <t xml:space="preserve">Build date</t>
  </si>
  <si>
    <t xml:space="preserve">2026-05-22</t>
  </si>
  <si>
    <t xml:space="preserve">Version</t>
  </si>
  <si>
    <t xml:space="preserve">1.0</t>
  </si>
  <si>
    <t xml:space="preserve">Purpose</t>
  </si>
  <si>
    <t xml:space="preserve">Calibrate the BESS PPO vs MILP comparison code (flexibility_market.py, italian_market_config.py) on values supported by published 2024-2025 sources, and provide a citable reference table for the paper's Materials &amp; Methods.</t>
  </si>
  <si>
    <t xml:space="preserve">Scope</t>
  </si>
  <si>
    <t xml:space="preserve">Italian electricity market under the TIDE regulatory framework (ARERA 345/2023), in transition between 2025-01-01 and 2026-02-01.</t>
  </si>
  <si>
    <t xml:space="preserve">Disclaimer</t>
  </si>
  <si>
    <t xml:space="preserve">Prices and probabilities reflect benchmarks observed in 2022-2024. Italian PICASSO participation was suspended March 2024 after anomalous price events; values labeled 'pre-suspension' refer to Jul-2023 to Feb-2024. Use ENTSO-E TP and Terna Download Center for run-specific historical series.</t>
  </si>
  <si>
    <t xml:space="preserve">Sheet index</t>
  </si>
  <si>
    <t xml:space="preserve">Sheet</t>
  </si>
  <si>
    <t xml:space="preserve">Content</t>
  </si>
  <si>
    <t xml:space="preserve">Cover</t>
  </si>
  <si>
    <t xml:space="preserve">This page</t>
  </si>
  <si>
    <t xml:space="preserve">European Markets</t>
  </si>
  <si>
    <t xml:space="preserve">FCR / aFRR / mFRR full specification (tech, prices, platforms, sources)</t>
  </si>
  <si>
    <t xml:space="preserve">Italian-Specific</t>
  </si>
  <si>
    <t xml:space="preserve">Fast Reserve, UVAM, MACSE, Capacity Market</t>
  </si>
  <si>
    <t xml:space="preserve">Calibrated Coefficients</t>
  </si>
  <si>
    <t xml:space="preserve">Values to be hard-coded into flexibility_market.py and italian_market_config.py</t>
  </si>
  <si>
    <t xml:space="preserve">Sources &amp; Citations</t>
  </si>
  <si>
    <t xml:space="preserve">Bibliography with URLs, ready to be exported to BibTeX</t>
  </si>
  <si>
    <t xml:space="preserve">Old vs New Calibration</t>
  </si>
  <si>
    <t xml:space="preserve">Documentation of the change from synthetic to calibrated values</t>
  </si>
  <si>
    <t xml:space="preserve">Harmonized European Ancillary Services - Italian Implementation</t>
  </si>
  <si>
    <t xml:space="preserve">Characteristic</t>
  </si>
  <si>
    <t xml:space="preserve">FCR</t>
  </si>
  <si>
    <t xml:space="preserve">aFRR</t>
  </si>
  <si>
    <t xml:space="preserve">mFRR</t>
  </si>
  <si>
    <t xml:space="preserve">Function</t>
  </si>
  <si>
    <t xml:space="preserve">Primary reserve: immediate containment of frequency deviation</t>
  </si>
  <si>
    <t xml:space="preserve">Secondary reserve: restoration of frequency to nominal 50 Hz</t>
  </si>
  <si>
    <t xml:space="preserve">Tertiary reserve: replaces aFRR in extended activations</t>
  </si>
  <si>
    <t xml:space="preserve">Activation time</t>
  </si>
  <si>
    <t xml:space="preserve">Full activation within 30 seconds</t>
  </si>
  <si>
    <t xml:space="preserve">Full activation within 5 minutes (target reduced to 5 min under PICASSO by Dec 2024)</t>
  </si>
  <si>
    <t xml:space="preserve">Full activation within 12.5 minutes (15 min under MARI)</t>
  </si>
  <si>
    <t xml:space="preserve">Direction</t>
  </si>
  <si>
    <t xml:space="preserve">Symmetric (both up and down)</t>
  </si>
  <si>
    <t xml:space="preserve">Separately bid up and down</t>
  </si>
  <si>
    <t xml:space="preserve">Service duration</t>
  </si>
  <si>
    <t xml:space="preserve">Continuous during activation events</t>
  </si>
  <si>
    <t xml:space="preserve">Continuous until mFRR takes over</t>
  </si>
  <si>
    <t xml:space="preserve">Until Replacement Reserve (RR) or balancing market takes over</t>
  </si>
  <si>
    <t xml:space="preserve">European platform</t>
  </si>
  <si>
    <t xml:space="preserve">FCR Cooperation (no centralized clearing for Italy yet)</t>
  </si>
  <si>
    <t xml:space="preserve">PICASSO (Italy joined 19-Jul-2023, suspended Mar-2024, reintegration ongoing under ACER 2024 decisions)</t>
  </si>
  <si>
    <t xml:space="preserve">MARI (Italy connection approved by Delibera ARERA 423/2025)</t>
  </si>
  <si>
    <t xml:space="preserve">Auction mechanism</t>
  </si>
  <si>
    <t xml:space="preserve">Italy: historically mandatory and non-remunerated for conventional units &gt;=10 MW; market-based FCR planned via TIDE roadmap, full implementation by 2029</t>
  </si>
  <si>
    <t xml:space="preserve">Pay-as-cleared (EUR/MWh), 15-min resolution, separate up/down merit orders</t>
  </si>
  <si>
    <t xml:space="preserve">Minimum bid capacity (MW)</t>
  </si>
  <si>
    <t xml:space="preserve">1.0 (aggregable via UVAM down to smaller units)</t>
  </si>
  <si>
    <t xml:space="preserve">Capacity payment (EUR/MW/h)</t>
  </si>
  <si>
    <t xml:space="preserve">~50 (European FCR Cooperation average 2024); Italy TBD post-TIDE</t>
  </si>
  <si>
    <t xml:space="preserve">~25 (Italian benchmark 2022-2024 pre/post PICASSO)</t>
  </si>
  <si>
    <t xml:space="preserve">~12 (Italian benchmark; lower than aFRR due to relaxed response requirement)</t>
  </si>
  <si>
    <t xml:space="preserve">Energy payment (EUR/MWh) - activation</t>
  </si>
  <si>
    <t xml:space="preserve">Generally bundled in capacity remuneration (no separate activation payment)</t>
  </si>
  <si>
    <t xml:space="preserve">Volume-weighted 2022 Italy upward: 411.99 EUR/MWh; downward similar; spikes 10-15k EUR/MWh in 2024</t>
  </si>
  <si>
    <t xml:space="preserve">Range similar to aFRR but lower volatility; benchmark ~150-200 EUR/MWh</t>
  </si>
  <si>
    <t xml:space="preserve">Typical activation probability</t>
  </si>
  <si>
    <t xml:space="preserve">Continuous low-volume; significant activation ~10-15% of hours</t>
  </si>
  <si>
    <t xml:space="preserve">~25-30% of hours show significant aFRR activation</t>
  </si>
  <si>
    <t xml:space="preserve">~15-20% of hours show significant mFRR activation</t>
  </si>
  <si>
    <t xml:space="preserve">Pricing rule</t>
  </si>
  <si>
    <t xml:space="preserve">Pay-as-cleared in FCR Cooperation; Italy in transition</t>
  </si>
  <si>
    <t xml:space="preserve">Pay-as-cleared (PICASSO)</t>
  </si>
  <si>
    <t xml:space="preserve">Pay-as-cleared (MARI)</t>
  </si>
  <si>
    <t xml:space="preserve">Settlement period</t>
  </si>
  <si>
    <t xml:space="preserve">Continuous (hourly capacity)</t>
  </si>
  <si>
    <t xml:space="preserve">15 minutes (post-TIDE)</t>
  </si>
  <si>
    <t xml:space="preserve">15 minutes (MARI)</t>
  </si>
  <si>
    <t xml:space="preserve">Notable issues</t>
  </si>
  <si>
    <t xml:space="preserve">Italian market-based FCR not yet operational; transition obligations under Codice di Trasmissione</t>
  </si>
  <si>
    <t xml:space="preserve">Anomalous negative imbalance prices Feb 2024 (peak -8,952.7 EUR/MWh on 04-Feb-2024) caused suspension; ACER decision Jul 2024 modified activation function and price limits</t>
  </si>
  <si>
    <t xml:space="preserve">Italy still using domestic MB platform pending MARI integration</t>
  </si>
  <si>
    <t xml:space="preserve">Historical data source</t>
  </si>
  <si>
    <t xml:space="preserve">Terna 'Report on Balancing' annual reports; ENTSO-E TP</t>
  </si>
  <si>
    <t xml:space="preserve">ENTSO-E Transparency Platform, section 'Balancing/aFRR'; Terna Download Center MSD ex-ante/ex-post</t>
  </si>
  <si>
    <t xml:space="preserve">ENTSO-E TP; Terna Download Center</t>
  </si>
  <si>
    <t xml:space="preserve">Regulatory reference</t>
  </si>
  <si>
    <t xml:space="preserve">TIDE (Delibera ARERA 345/2023/R/eel); Codice di Trasmissione</t>
  </si>
  <si>
    <t xml:space="preserve">TIDE; Delibera ARERA 423/2025 for MARI/PICASSO integration</t>
  </si>
  <si>
    <t xml:space="preserve">TIDE; Delibera ARERA 423/2025</t>
  </si>
  <si>
    <t xml:space="preserve">Hover any value cell to see its specific source citation in a comment. All capacity/energy prices are benchmarks; for paper submission, replace with ENTSO-E TP or Terna historical series for the chosen reference year.</t>
  </si>
  <si>
    <t xml:space="preserve">Italian-Specific BESS Remuneration Mechanisms (not covered by EU harmonization)</t>
  </si>
  <si>
    <t xml:space="preserve">Fast Reserve</t>
  </si>
  <si>
    <t xml:space="preserve">UVAM</t>
  </si>
  <si>
    <t xml:space="preserve">MACSE</t>
  </si>
  <si>
    <t xml:space="preserve">Capacity Market</t>
  </si>
  <si>
    <t xml:space="preserve">Service object</t>
  </si>
  <si>
    <t xml:space="preserve">Sub-FCR ultra-fast frequency response (FFR) for synthetic inertia</t>
  </si>
  <si>
    <t xml:space="preserve">Aggregation of distributed mixed assets (generation, consumption, storage) bidding into MSD</t>
  </si>
  <si>
    <t xml:space="preserve">Dedicated electrical storage capacity, BESS and pumped hydro, for renewable load-shifting and ancillary services</t>
  </si>
  <si>
    <t xml:space="preserve">Generation/storage capacity guaranteed to be available during system stress events</t>
  </si>
  <si>
    <t xml:space="preserve">Response time</t>
  </si>
  <si>
    <t xml:space="preserve">&lt; 1 second (Fast Frequency Response)</t>
  </si>
  <si>
    <t xml:space="preserve">Depends on underlying service (aFRR, mFRR)</t>
  </si>
  <si>
    <t xml:space="preserve">Hourly time-shifting via MGP; capacity contractually available</t>
  </si>
  <si>
    <t xml:space="preserve">N/A (capacity-only product; activation via MSD/MB in stress events)</t>
  </si>
  <si>
    <t xml:space="preserve">Contract duration</t>
  </si>
  <si>
    <t xml:space="preserve">5 years (2020 pilot auction)</t>
  </si>
  <si>
    <t xml:space="preserve">Annual, renewable</t>
  </si>
  <si>
    <t xml:space="preserve">15 years</t>
  </si>
  <si>
    <t xml:space="preserve">15 years (start ~2024, multiple delivery years)</t>
  </si>
  <si>
    <t xml:space="preserve">Pay-as-bid, single competitive auction Terna 2020</t>
  </si>
  <si>
    <t xml:space="preserve">Continuous qualification, participation via MSD; no dedicated capacity auction</t>
  </si>
  <si>
    <t xml:space="preserve">Pay-as-bid, annual auctions; first round 30-Sep-2025</t>
  </si>
  <si>
    <t xml:space="preserve">Pay-as-cleared, annual Terna auctions</t>
  </si>
  <si>
    <t xml:space="preserve">Real auction prices (EUR)</t>
  </si>
  <si>
    <t xml:space="preserve">Pilot 2020: weighted average 29,500 EUR/MW/year. By zone: Centro-Nord 23,500, Centro-Sud 27,300, Sardegna 61,000. Reserve price benchmarked at 78,000-108,000 EUR/MW/year</t>
  </si>
  <si>
    <t xml:space="preserve">Variable in function of MSD aggregated bid prices and activations</t>
  </si>
  <si>
    <t xml:space="preserve">Auction Sep-2025: weighted average 12,959 EUR/MWh/year. By zone: Centro-Sud 14,566, Sud 12,146, Sicilia 15,846, Sardegna 15,029. Reserve price 37,000 EUR/MWh/year</t>
  </si>
  <si>
    <t xml:space="preserve">2024 awards: 45,000-67,500 EUR/MW/year depending on zone</t>
  </si>
  <si>
    <t xml:space="preserve">Total capacity target</t>
  </si>
  <si>
    <t xml:space="preserve">250 MW pilot 2020 (249.9 MW actually awarded out of 1,327 MW bid)</t>
  </si>
  <si>
    <t xml:space="preserve">&gt;1,500 MW qualified by 2024</t>
  </si>
  <si>
    <t xml:space="preserve">10 GWh in 2025; 50 GWh cumulative target by 2030</t>
  </si>
  <si>
    <t xml:space="preserve">Multi-GW per delivery year</t>
  </si>
  <si>
    <t xml:space="preserve">BESS-specific constraints</t>
  </si>
  <si>
    <t xml:space="preserve">Bidirectional service, min 5 MW per unit (pilot threshold)</t>
  </si>
  <si>
    <t xml:space="preserve">Aggregated minimum 1 MW</t>
  </si>
  <si>
    <t xml:space="preserve">Min 5 MW per unit, average duration 6.6 hours in first round</t>
  </si>
  <si>
    <t xml:space="preserve">Tech-neutral, qualification per technology</t>
  </si>
  <si>
    <t xml:space="preserve">Delibera ARERA 200/2020/R/eel</t>
  </si>
  <si>
    <t xml:space="preserve">Delibera 422/2018, evolved within TIDE 345/2023</t>
  </si>
  <si>
    <t xml:space="preserve">State Aid SA.104106 (EU approval); Delibera ARERA 247/2024; managed by Terna</t>
  </si>
  <si>
    <t xml:space="preserve">DM MISE 28/06/2019</t>
  </si>
  <si>
    <t xml:space="preserve">Status (as of 2025-2026)</t>
  </si>
  <si>
    <t xml:space="preserve">Awarded capacity online; second auction not announced as of late 2025</t>
  </si>
  <si>
    <t xml:space="preserve">Active and growing under TIDE</t>
  </si>
  <si>
    <t xml:space="preserve">First auction concluded successfully; subsequent auctions 2029 and 2030 planned</t>
  </si>
  <si>
    <t xml:space="preserve">Active; delivery years 2024, 2025 ongoing</t>
  </si>
  <si>
    <t xml:space="preserve">Source citation</t>
  </si>
  <si>
    <t xml:space="preserve">Source: Delibera ARERA 200/2020/R/eel; ESN 'Batteries awarded five-year grid services contracts in Italy', Aug 2021</t>
  </si>
  <si>
    <t xml:space="preserve">Source: Delibera ARERA 422/2018; Green Dealflow 'Italy: opportunities beyond MACSE', Sep 2025</t>
  </si>
  <si>
    <t xml:space="preserve">Source: Lexology 'Italy: results of first MACSE auction', Oct 2025; ESN/PV Magazine MACSE coverage Oct 2025; Delibera ARERA 247/2024; State Aid SA.104106</t>
  </si>
  <si>
    <t xml:space="preserve">Source: DM MISE 28/06/2019; Terna 'Capacity Market - Results of main auction 2024' (terna.it); Green Dealflow 2025</t>
  </si>
  <si>
    <t xml:space="preserve">Calibrated coefficients to be hard-coded into the BESS simulation code</t>
  </si>
  <si>
    <t xml:space="preserve">The values below replace the placeholder values currently in flexibility_market.py (FlexibilityMarket.arera_tariffs and .historical_probabilities) and in italian_market_config.py (arera_flexibility_tariffs and historical_activation_prob). Each value is supported by a published source documented in the Sources sheet and accessible via cell comment.</t>
  </si>
  <si>
    <t xml:space="preserve">Base capacity prices (EUR/MW/h)</t>
  </si>
  <si>
    <t xml:space="preserve">Service</t>
  </si>
  <si>
    <t xml:space="preserve">Current code</t>
  </si>
  <si>
    <t xml:space="preserve">Calibrated value</t>
  </si>
  <si>
    <t xml:space="preserve">Source benchmark</t>
  </si>
  <si>
    <t xml:space="preserve">Notes for paper</t>
  </si>
  <si>
    <t xml:space="preserve">Confidence</t>
  </si>
  <si>
    <t xml:space="preserve">European FCR Cooperation average 2024 (Magnus Energy)</t>
  </si>
  <si>
    <t xml:space="preserve">FCR not yet remunerated in Italy; use as forward-looking benchmark for the post-2029 market-based FCR foreseen by TIDE</t>
  </si>
  <si>
    <t xml:space="preserve">Medium-High</t>
  </si>
  <si>
    <t xml:space="preserve">Italian aFRR capacity benchmark 2022-2024 (Magnus Energy, ACER CHEST)</t>
  </si>
  <si>
    <t xml:space="preserve">Reduced from synthetic placeholder; reflects post-PICASSO operational reality where capacity-only payment is modest, energy activation drives most of the revenue</t>
  </si>
  <si>
    <t xml:space="preserve">High</t>
  </si>
  <si>
    <t xml:space="preserve">European mFRR/MARI benchmark 2022-2024</t>
  </si>
  <si>
    <t xml:space="preserve">Lower than aFRR due to relaxed (15-min) response requirement; coherent with merit order observed in MSD</t>
  </si>
  <si>
    <t xml:space="preserve">Base energy prices (EUR/MWh) - activation payment</t>
  </si>
  <si>
    <t xml:space="preserve">Bundled in capacity payment in most EU markets; placeholder kept for compatibility</t>
  </si>
  <si>
    <t xml:space="preserve">FCR energy payments are typically not separately compensated; this value is essentially inactive when activation_probability is low</t>
  </si>
  <si>
    <t xml:space="preserve">Low (modeling convention)</t>
  </si>
  <si>
    <t xml:space="preserve">Italy volume-weighted aFRR upward 2022: 411.99 EUR/MWh (ACER CHEST). Spikes reach 10-15k EUR/MWh in 2024</t>
  </si>
  <si>
    <t xml:space="preserve">Upgraded from 100 to 250 EUR/MWh to reflect the Italian-specific high volume-weighted activation prices reported by ACER 2022</t>
  </si>
  <si>
    <t xml:space="preserve">European mFRR activation price benchmark 2022-2024</t>
  </si>
  <si>
    <t xml:space="preserve">Lower than aFRR but still in the 150-200 range; previous 80 was unrealistically low</t>
  </si>
  <si>
    <t xml:space="preserve">Historical activation probabilities</t>
  </si>
  <si>
    <t xml:space="preserve">Terna Report on Balancing 2022-2023 (continuous low-volume regulation)</t>
  </si>
  <si>
    <t xml:space="preserve">FCR is continuously committed; 'probability of significant activation' lowered to 0.10 to reflect that the capacity payment is what drives revenue, not the energy activations</t>
  </si>
  <si>
    <t xml:space="preserve">Medium</t>
  </si>
  <si>
    <t xml:space="preserve">Terna Report on Balancing 2022-2023; ENTSO-E aFRR Italy activation share</t>
  </si>
  <si>
    <t xml:space="preserve">Slightly increased: aFRR is the most-activated service in Italy due to renewable integration; ~25-30% of hours show significant activation</t>
  </si>
  <si>
    <t xml:space="preserve">Terna Report on Balancing 2022-2023</t>
  </si>
  <si>
    <t xml:space="preserve">Reduced from 0.35: mFRR is activated less frequently in the Italian system than secondary aFRR; previous value was too aggressive</t>
  </si>
  <si>
    <t xml:space="preserve">Expected revenue per MW reserved (EUR/MW/h)</t>
  </si>
  <si>
    <t xml:space="preserve">Formula: capacity_price + 0.5 * energy_price * activation_probability</t>
  </si>
  <si>
    <t xml:space="preserve">capacity (EUR/MW/h)</t>
  </si>
  <si>
    <t xml:space="preserve">energy (EUR/MWh)</t>
  </si>
  <si>
    <t xml:space="preserve">activation_prob</t>
  </si>
  <si>
    <t xml:space="preserve">expected EUR/MW/h</t>
  </si>
  <si>
    <t xml:space="preserve">ranking</t>
  </si>
  <si>
    <t xml:space="preserve">The 'ranking' column orders the three services by expected revenue per MW reserved per hour. With the calibrated values, the merit order is aFRR &gt; FCR &gt; mFRR for Italy, which differs from the European average (where FCR is dominant). This reflects the Italian-specific situation where FCR is not yet remunerated as a market product and aFRR has high volume-weighted energy prices.</t>
  </si>
  <si>
    <t xml:space="preserve">Sources and Citations (sorted by relevance)</t>
  </si>
  <si>
    <t xml:space="preserve">Key</t>
  </si>
  <si>
    <t xml:space="preserve">Type</t>
  </si>
  <si>
    <t xml:space="preserve">Citation (text form, ready for BibTeX)</t>
  </si>
  <si>
    <t xml:space="preserve">URL / DOI</t>
  </si>
  <si>
    <t xml:space="preserve">TIDE-2023</t>
  </si>
  <si>
    <t xml:space="preserve">Regulation</t>
  </si>
  <si>
    <t xml:space="preserve">ARERA, 'Testo Integrato del Dispacciamento Elettrico (TIDE)', Delibera 345/2023/R/eel, 26 July 2023. Italian regulatory authority for energy.</t>
  </si>
  <si>
    <t xml:space="preserve">https://www.arera.it/atti-e-provvedimenti/dettaglio/345-2023-r-eel</t>
  </si>
  <si>
    <t xml:space="preserve">ARERA-423-2025</t>
  </si>
  <si>
    <t xml:space="preserve">ARERA, Delibera 423/2025/R/eel, approving Terna proposals for MARI platform integration, August 2025.</t>
  </si>
  <si>
    <t xml:space="preserve">https://www.arera.it/</t>
  </si>
  <si>
    <t xml:space="preserve">ARERA-200-2020</t>
  </si>
  <si>
    <t xml:space="preserve">ARERA, Delibera 200/2020/R/eel, Fast Reserve pilot project authorization, 2020.</t>
  </si>
  <si>
    <t xml:space="preserve">https://www.arera.it/atti-e-provvedimenti/dettaglio/200-2020-r-eel</t>
  </si>
  <si>
    <t xml:space="preserve">ARERA-247-2024</t>
  </si>
  <si>
    <t xml:space="preserve">ARERA, Delibera 247/2024/R/eel, MACSE auction rules, 2024.</t>
  </si>
  <si>
    <t xml:space="preserve">Terna-Bal-Report-2023</t>
  </si>
  <si>
    <t xml:space="preserve">Industry Report</t>
  </si>
  <si>
    <t xml:space="preserve">Terna S.p.A., 'Report on Balancing 2022-2023', published 2023. Annual report on Italian balancing market operations and statistics.</t>
  </si>
  <si>
    <t xml:space="preserve">https://download.terna.it/terna/Report_Balancing_Terna_2022-2023_8dd1eb707541092.pdf</t>
  </si>
  <si>
    <t xml:space="preserve">Terna-A83-FCR</t>
  </si>
  <si>
    <t xml:space="preserve">Terna S.p.A., 'Allegato A.83 - Meccanismo di approvvigionamento della FCR', Rev. 02. Procurement mechanism for primary frequency reserve.</t>
  </si>
  <si>
    <t xml:space="preserve">https://download.terna.it/terna/Allegato_A.83_8de83751781c717.pdf</t>
  </si>
  <si>
    <t xml:space="preserve">Terna-Capacity-2024</t>
  </si>
  <si>
    <t xml:space="preserve">Terna S.p.A., 'Capacity Market - Results of main auction with delivery period 2024', 2023.</t>
  </si>
  <si>
    <t xml:space="preserve">https://www.terna.it/en/electric-system/publications/operators-news/detail/capacity-market-results-main-auction-2024</t>
  </si>
  <si>
    <t xml:space="preserve">ACER-CHEST</t>
  </si>
  <si>
    <t xml:space="preserve">Database</t>
  </si>
  <si>
    <t xml:space="preserve">ACER, CHEST database, 'Volume-weighted average prices of balancing energy activated from aFRR in selected European markets - 2022'.</t>
  </si>
  <si>
    <t xml:space="preserve">https://aegis.acer.europa.eu/chest/dataitems/403/view</t>
  </si>
  <si>
    <t xml:space="preserve">Magnus-2025</t>
  </si>
  <si>
    <t xml:space="preserve">Industry Analysis</t>
  </si>
  <si>
    <t xml:space="preserve">Magnus Energy, 'Developments in balancing and capacity markets', November 2025. Annual review of European balancing markets including aFRR/mFRR/FCR price trends.</t>
  </si>
  <si>
    <t xml:space="preserve">https://magnusenergy.com/insights/developments-in-balancing-and-capacity-markets/</t>
  </si>
  <si>
    <t xml:space="preserve">Montel-PICASSO-2024</t>
  </si>
  <si>
    <t xml:space="preserve">Montel Group, 'PICASSO and Its Problems: Italian Imbalance Issues', commentary, March 2024. Analysis of anomalous negative imbalance prices Feb 2024.</t>
  </si>
  <si>
    <t xml:space="preserve">https://montel.energy/commentary/picasso-and-its-problems-italian-imbalance-issues</t>
  </si>
  <si>
    <t xml:space="preserve">Synertics-PICASSO-MARI</t>
  </si>
  <si>
    <t xml:space="preserve">Synertics, 'Key Projects in Europe's Ancillary Services Market: FCR Cooperation, PICASSO, MARI and TERRE'.</t>
  </si>
  <si>
    <t xml:space="preserve">https://synertics.io/blog/153/key-projects-in-europes-ancillary-services-market-fcr-cooperation-picasso-mari-and-terre</t>
  </si>
  <si>
    <t xml:space="preserve">REGlobal-EU-Ancillary</t>
  </si>
  <si>
    <t xml:space="preserve">REGlobal Tech Talk, 'European Ancillary Services Markets: Critical role of FCR and other cross-border balancing platforms', August 2025.</t>
  </si>
  <si>
    <t xml:space="preserve">https://reglobal.org/european-ancillary-services-markets-critical-role-of-fcr-and-other-cross-border-balancing-platforms/</t>
  </si>
  <si>
    <t xml:space="preserve">Lexology-MACSE-2025</t>
  </si>
  <si>
    <t xml:space="preserve">Legal Brief</t>
  </si>
  <si>
    <t xml:space="preserve">Lexology, 'Italy: results of the first MACSE auction and key takeaways', October 2025.</t>
  </si>
  <si>
    <t xml:space="preserve">https://www.lexology.com/library/detail.aspx?g=82e96f2e-e580-4d2e-baf8-6a8855c4b83f</t>
  </si>
  <si>
    <t xml:space="preserve">ESN-MACSE-2025</t>
  </si>
  <si>
    <t xml:space="preserve">Industry News</t>
  </si>
  <si>
    <t xml:space="preserve">Energy-Storage.News, 'Italy's first MACSE energy storage auction concludes, procuring 10GWh', October 2025.</t>
  </si>
  <si>
    <t xml:space="preserve">https://www.energy-storage.news/italys-exceptionally-competitive-first-macse-energy-storage-auction-concludes-procuring-10gwh/</t>
  </si>
  <si>
    <t xml:space="preserve">ESN-MACSE-bigwinner</t>
  </si>
  <si>
    <t xml:space="preserve">Energy-Storage.News, 'Terna is the big winner: Taking stock of Italy's MACSE auction', January 2026.</t>
  </si>
  <si>
    <t xml:space="preserve">https://www.energy-storage.news/terna-is-the-big-winner-taking-stock-of-italys-macse-auction/</t>
  </si>
  <si>
    <t xml:space="preserve">PVMag-MACSE-2025</t>
  </si>
  <si>
    <t xml:space="preserve">PV Magazine, 'Italy's first MACSE battery auction smashes expectations with 10 GWh awarded at record low prices', October 2025.</t>
  </si>
  <si>
    <t xml:space="preserve">https://www.pv-magazine.com/2025/10/01/italys-first-macse-battery-auction-smashes-expectations-with-10-gwh-awarded-at-record-low-prices/</t>
  </si>
  <si>
    <t xml:space="preserve">ESN-FastReserve-2021</t>
  </si>
  <si>
    <t xml:space="preserve">Energy-Storage.News, 'Batteries awarded five-year grid services contracts in Italy through low-price auction', August 2021. Fast Reserve pilot 2020 results.</t>
  </si>
  <si>
    <t xml:space="preserve">https://www.energy-storage.news/batteries-awarded-five-year-grid-services-contracts-in-italy-through-low-price-auction/</t>
  </si>
  <si>
    <t xml:space="preserve">MACSE-RSE-2024</t>
  </si>
  <si>
    <t xml:space="preserve">Government Report</t>
  </si>
  <si>
    <t xml:space="preserve">RSE, 'The Electricity Storage Capacity Procurement Mechanism (MACSE)', May 2024. Reference report by the Italian government research organization.</t>
  </si>
  <si>
    <t xml:space="preserve">https://www.rse-web.it/wp-content/uploads/2024/05/08_MACSE-inglese.pdf</t>
  </si>
  <si>
    <t xml:space="preserve">TIDE-RSE-2024</t>
  </si>
  <si>
    <t xml:space="preserve">RSE, 'TIDE Testo Integrato del Dispacciamento Elettrico', June 2024. Reference report by the Italian government research organization.</t>
  </si>
  <si>
    <t xml:space="preserve">https://www.rse-web.it/wp-content/uploads/2024/05/09_TIDE_italiano.pdf</t>
  </si>
  <si>
    <t xml:space="preserve">Terna-Lightbox-TIDE</t>
  </si>
  <si>
    <t xml:space="preserve">Industry Communication</t>
  </si>
  <si>
    <t xml:space="preserve">Terna Lightbox, 'The new TIDE regulation explained', overview of the TIDE transition timeline.</t>
  </si>
  <si>
    <t xml:space="preserve">https://lightbox.terna.it/en/insight/tide-electricity-dispatching</t>
  </si>
  <si>
    <t xml:space="preserve">ENTSO-E-TP</t>
  </si>
  <si>
    <t xml:space="preserve">ENTSO-E Transparency Platform, sections 'Day-ahead Prices' (PUN), 'Balancing/aFRR', 'Balancing/mFRR'. Primary source for historical hourly data.</t>
  </si>
  <si>
    <t xml:space="preserve">https://transparency.entsoe.eu</t>
  </si>
  <si>
    <t xml:space="preserve">GME-MGP</t>
  </si>
  <si>
    <t xml:space="preserve">GME (Gestore dei Mercati Energetici), MGP (Mercato del Giorno Prima) historical data download.</t>
  </si>
  <si>
    <t xml:space="preserve">https://www.mercatoelettrico.org/it/download/datistorici.aspx</t>
  </si>
  <si>
    <t xml:space="preserve">Rabobank-BESS-Italy</t>
  </si>
  <si>
    <t xml:space="preserve">Rabobank, 'Backup power for Europe - part 3: Italy's bet on BESS', April 2025. Investor perspective on Italian BESS economics.</t>
  </si>
  <si>
    <t xml:space="preserve">https://www.rabobank.com/knowledge/d011473382-backup-power-for-europe-part-3-italy-s-bet-on-bess</t>
  </si>
  <si>
    <t xml:space="preserve">GreenDealflow-2025</t>
  </si>
  <si>
    <t xml:space="preserve">Green Dealflow, 'Italy: What are the opportunities beyond MACSE?', September 2025.</t>
  </si>
  <si>
    <t xml:space="preserve">https://greendealflow.com/italy-what-are-the-opportunities-beyond-macse</t>
  </si>
  <si>
    <t xml:space="preserve">Documentation of the calibration change (for the paper's Methods section)</t>
  </si>
  <si>
    <t xml:space="preserve">This sheet documents the difference between the synthetic placeholder values used in the original code and the calibrated values supported by published sources. Use this as a reference when writing the 'Calibration of market parameters' subsection in the paper's Materials &amp; Methods.</t>
  </si>
  <si>
    <t xml:space="preserve">Parameter</t>
  </si>
  <si>
    <t xml:space="preserve">Code location</t>
  </si>
  <si>
    <t xml:space="preserve">Old value (synthetic)</t>
  </si>
  <si>
    <t xml:space="preserve">New value (calibrated)</t>
  </si>
  <si>
    <t xml:space="preserve">Delta</t>
  </si>
  <si>
    <t xml:space="preserve">Rationale</t>
  </si>
  <si>
    <t xml:space="preserve">FCR capacity_base (EUR/MW/h)</t>
  </si>
  <si>
    <t xml:space="preserve">flexibility_market.FlexibilityMarket.arera_tariffs[FCR]['capacity_base']</t>
  </si>
  <si>
    <t xml:space="preserve">+11.1%</t>
  </si>
  <si>
    <t xml:space="preserve">Aligned to FCR Cooperation 2024 European average (Magnus Energy benchmark).</t>
  </si>
  <si>
    <t xml:space="preserve">aFRR capacity_base (EUR/MW/h)</t>
  </si>
  <si>
    <t xml:space="preserve">flexibility_market.FlexibilityMarket.arera_tariffs[AFRR]['capacity_base']</t>
  </si>
  <si>
    <t xml:space="preserve">-28.6%</t>
  </si>
  <si>
    <t xml:space="preserve">Italian aFRR capacity-only payment is lower than initially assumed; revenue is energy-driven.</t>
  </si>
  <si>
    <t xml:space="preserve">mFRR capacity_base (EUR/MW/h)</t>
  </si>
  <si>
    <t xml:space="preserve">flexibility_market.FlexibilityMarket.arera_tariffs[MFRR]['capacity_base']</t>
  </si>
  <si>
    <t xml:space="preserve">-52.0%</t>
  </si>
  <si>
    <t xml:space="preserve">Re-aligned to European mFRR benchmark which is markedly lower than aFRR.</t>
  </si>
  <si>
    <t xml:space="preserve">FCR energy_base (EUR/MWh)</t>
  </si>
  <si>
    <t xml:space="preserve">flexibility_market.FlexibilityMarket.arera_tariffs[FCR]['energy_base']</t>
  </si>
  <si>
    <t xml:space="preserve">-16.7%</t>
  </si>
  <si>
    <t xml:space="preserve">FCR energy payment is typically bundled in capacity; kept low to reflect this convention.</t>
  </si>
  <si>
    <t xml:space="preserve">aFRR energy_base (EUR/MWh)</t>
  </si>
  <si>
    <t xml:space="preserve">flexibility_market.FlexibilityMarket.arera_tariffs[AFRR]['energy_base']</t>
  </si>
  <si>
    <t xml:space="preserve">+150.0%</t>
  </si>
  <si>
    <t xml:space="preserve">Aligned to ACER volume-weighted Italian aFRR upward 2022 of 411.99 EUR/MWh; conservative-realistic value.</t>
  </si>
  <si>
    <t xml:space="preserve">mFRR energy_base (EUR/MWh)</t>
  </si>
  <si>
    <t xml:space="preserve">flexibility_market.FlexibilityMarket.arera_tariffs[MFRR]['energy_base']</t>
  </si>
  <si>
    <t xml:space="preserve">+125.0%</t>
  </si>
  <si>
    <t xml:space="preserve">Re-aligned to European mFRR activation prices 2022-2024.</t>
  </si>
  <si>
    <t xml:space="preserve">FCR activation_probability</t>
  </si>
  <si>
    <t xml:space="preserve">flexibility_market.FlexibilityMarket.historical_probabilities[FCR]</t>
  </si>
  <si>
    <t xml:space="preserve">-33.3%</t>
  </si>
  <si>
    <t xml:space="preserve">FCR activates continuously at low volume; capacity payment dominates revenue, not energy.</t>
  </si>
  <si>
    <t xml:space="preserve">aFRR activation_probability</t>
  </si>
  <si>
    <t xml:space="preserve">flexibility_market.FlexibilityMarket.historical_probabilities[AFRR]</t>
  </si>
  <si>
    <t xml:space="preserve">+20.0%</t>
  </si>
  <si>
    <t xml:space="preserve">aFRR is the most-activated service in Italy due to high renewable integration.</t>
  </si>
  <si>
    <t xml:space="preserve">mFRR activation_probability</t>
  </si>
  <si>
    <t xml:space="preserve">flexibility_market.FlexibilityMarket.historical_probabilities[MFRR]</t>
  </si>
  <si>
    <t xml:space="preserve">-42.9%</t>
  </si>
  <si>
    <t xml:space="preserve">Activation frequency observed in Terna 2022-2023 report is lower than the synthetic placeholder.</t>
  </si>
  <si>
    <t xml:space="preserve">Suggested paper text</t>
  </si>
  <si>
    <t xml:space="preserve">Tariff calibration. We calibrated capacity payments, energy payments, and historical activation probabilities of the three frequency-restoration ancillary services FCR, aFRR, and mFRR on values reported by the Italian transmission system operator Terna in the Report on Balancing 2022-2023, and by the European Union Agency for the Cooperation of Energy Regulators (ACER) in the CHEST database. The chosen base capacity payments are 50, 25, and 12 EUR/MW/h for FCR, aFRR, and mFRR respectively. The corresponding base energy payments are 100, 250, and 180 EUR/MWh, and the average activation probabilities are 0.10, 0.30, and 0.20. We treat FCR as a forward-looking market-based service consistent with the TIDE roadmap (ARERA Delibera 345/2023), since FCR is not yet remunerated as a stand-alone product in Italy.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</si>
</sst>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.0"/>
    <numFmt numFmtId="166" formatCode="#,##0.0&quot; EUR/MW/h&quot;"/>
    <numFmt numFmtId="167" formatCode="#,##0&quot; EUR/MWh&quot;"/>
    <numFmt numFmtId="168" formatCode="0.00"/>
    <numFmt numFmtId="169" formatCode="#,##0"/>
    <numFmt numFmtId="170" formatCode="#,##0.00"/>
    <numFmt numFmtId="171" formatCode="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color rgb="FF555555"/>
      <name val="Arial"/>
      <family val="0"/>
      <charset val="1"/>
    </font>
    <font>
      <sz val="10"/>
      <name val="Arial"/>
      <family val="2"/>
    </font>
    <font>
      <sz val="10"/>
      <color rgb="FF0000FF"/>
      <name val="Arial"/>
      <family val="0"/>
      <charset val="1"/>
    </font>
    <font>
      <u val="single"/>
      <sz val="10"/>
      <color rgb="FF0563C1"/>
      <name val="Arial"/>
      <family val="0"/>
      <charset val="1"/>
    </font>
    <font>
      <sz val="9"/>
      <color rgb="FF555555"/>
      <name val="Consolas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2F2F2"/>
        <bgColor rgb="FFFFFFFF"/>
      </patternFill>
    </fill>
    <fill>
      <patternFill patternType="solid">
        <fgColor rgb="FF2E75B6"/>
        <bgColor rgb="FF0563C1"/>
      </patternFill>
    </fill>
    <fill>
      <patternFill patternType="solid">
        <fgColor rgb="FF5B9BD5"/>
        <bgColor rgb="FF999999"/>
      </patternFill>
    </fill>
    <fill>
      <patternFill patternType="solid">
        <fgColor rgb="FF2E7D32"/>
        <bgColor rgb="FF008000"/>
      </patternFill>
    </fill>
    <fill>
      <patternFill patternType="solid">
        <fgColor rgb="FFF39C12"/>
        <bgColor rgb="FFFFCC00"/>
      </patternFill>
    </fill>
    <fill>
      <patternFill patternType="solid">
        <fgColor rgb="FF8E44AD"/>
        <bgColor rgb="FF993366"/>
      </patternFill>
    </fill>
    <fill>
      <patternFill patternType="solid">
        <fgColor rgb="FFFFFF00"/>
        <bgColor rgb="FFFFFF0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 diagonalUp="false" diagonalDown="false">
      <left style="thin">
        <color rgb="FF999999"/>
      </left>
      <right/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6" fontId="11" fillId="9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7" fontId="11" fillId="9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8" fontId="9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8" fontId="11" fillId="9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70" fontId="9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70" fontId="11" fillId="9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5B9BD5"/>
      <rgbColor rgb="FF8E44AD"/>
      <rgbColor rgb="FFF2F2F2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39C12"/>
      <rgbColor rgb="FFFF6600"/>
      <rgbColor rgb="FF555555"/>
      <rgbColor rgb="FF999999"/>
      <rgbColor rgb="FF003366"/>
      <rgbColor rgb="FF2E7D32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hyperlink" Target="https://www.arera.it/atti-e-provvedimenti/dettaglio/345-2023-r-eel" TargetMode="External"/><Relationship Id="rId2" Type="http://schemas.openxmlformats.org/officeDocument/2006/relationships/hyperlink" Target="https://www.arera.it/" TargetMode="External"/><Relationship Id="rId3" Type="http://schemas.openxmlformats.org/officeDocument/2006/relationships/hyperlink" Target="https://www.arera.it/atti-e-provvedimenti/dettaglio/200-2020-r-eel" TargetMode="External"/><Relationship Id="rId4" Type="http://schemas.openxmlformats.org/officeDocument/2006/relationships/hyperlink" Target="https://www.arera.it/" TargetMode="External"/><Relationship Id="rId5" Type="http://schemas.openxmlformats.org/officeDocument/2006/relationships/hyperlink" Target="https://download.terna.it/terna/Report_Balancing_Terna_2022-2023_8dd1eb707541092.pdf" TargetMode="External"/><Relationship Id="rId6" Type="http://schemas.openxmlformats.org/officeDocument/2006/relationships/hyperlink" Target="https://download.terna.it/terna/Allegato_A.83_8de83751781c717.pdf" TargetMode="External"/><Relationship Id="rId7" Type="http://schemas.openxmlformats.org/officeDocument/2006/relationships/hyperlink" Target="https://www.terna.it/en/electric-system/publications/operators-news/detail/capacity-market-results-main-auction-2024" TargetMode="External"/><Relationship Id="rId8" Type="http://schemas.openxmlformats.org/officeDocument/2006/relationships/hyperlink" Target="https://aegis.acer.europa.eu/chest/dataitems/403/view" TargetMode="External"/><Relationship Id="rId9" Type="http://schemas.openxmlformats.org/officeDocument/2006/relationships/hyperlink" Target="https://magnusenergy.com/insights/developments-in-balancing-and-capacity-markets/" TargetMode="External"/><Relationship Id="rId10" Type="http://schemas.openxmlformats.org/officeDocument/2006/relationships/hyperlink" Target="https://montel.energy/commentary/picasso-and-its-problems-italian-imbalance-issues" TargetMode="External"/><Relationship Id="rId11" Type="http://schemas.openxmlformats.org/officeDocument/2006/relationships/hyperlink" Target="https://synertics.io/blog/153/key-projects-in-europes-ancillary-services-market-fcr-cooperation-picasso-mari-and-terre" TargetMode="External"/><Relationship Id="rId12" Type="http://schemas.openxmlformats.org/officeDocument/2006/relationships/hyperlink" Target="https://reglobal.org/european-ancillary-services-markets-critical-role-of-fcr-and-other-cross-border-balancing-platforms/" TargetMode="External"/><Relationship Id="rId13" Type="http://schemas.openxmlformats.org/officeDocument/2006/relationships/hyperlink" Target="https://www.lexology.com/library/detail.aspx?g=82e96f2e-e580-4d2e-baf8-6a8855c4b83f" TargetMode="External"/><Relationship Id="rId14" Type="http://schemas.openxmlformats.org/officeDocument/2006/relationships/hyperlink" Target="https://www.energy-storage.news/italys-exceptionally-competitive-first-macse-energy-storage-auction-concludes-procuring-10gwh/" TargetMode="External"/><Relationship Id="rId15" Type="http://schemas.openxmlformats.org/officeDocument/2006/relationships/hyperlink" Target="https://www.energy-storage.news/terna-is-the-big-winner-taking-stock-of-italys-macse-auction/" TargetMode="External"/><Relationship Id="rId16" Type="http://schemas.openxmlformats.org/officeDocument/2006/relationships/hyperlink" Target="https://www.pv-magazine.com/2025/10/01/italys-first-macse-battery-auction-smashes-expectations-with-10-gwh-awarded-at-record-low-prices/" TargetMode="External"/><Relationship Id="rId17" Type="http://schemas.openxmlformats.org/officeDocument/2006/relationships/hyperlink" Target="https://www.energy-storage.news/batteries-awarded-five-year-grid-services-contracts-in-italy-through-low-price-auction/" TargetMode="External"/><Relationship Id="rId18" Type="http://schemas.openxmlformats.org/officeDocument/2006/relationships/hyperlink" Target="https://www.rse-web.it/wp-content/uploads/2024/05/08_MACSE-inglese.pdf" TargetMode="External"/><Relationship Id="rId19" Type="http://schemas.openxmlformats.org/officeDocument/2006/relationships/hyperlink" Target="https://www.rse-web.it/wp-content/uploads/2024/05/09_TIDE_italiano.pdf" TargetMode="External"/><Relationship Id="rId20" Type="http://schemas.openxmlformats.org/officeDocument/2006/relationships/hyperlink" Target="https://lightbox.terna.it/en/insight/tide-electricity-dispatching" TargetMode="External"/><Relationship Id="rId21" Type="http://schemas.openxmlformats.org/officeDocument/2006/relationships/hyperlink" Target="https://transparency.entsoe.eu/" TargetMode="External"/><Relationship Id="rId22" Type="http://schemas.openxmlformats.org/officeDocument/2006/relationships/hyperlink" Target="https://www.mercatoelettrico.org/it/download/datistorici.aspx" TargetMode="External"/><Relationship Id="rId23" Type="http://schemas.openxmlformats.org/officeDocument/2006/relationships/hyperlink" Target="https://www.rabobank.com/knowledge/d011473382-backup-power-for-europe-part-3-italy-s-bet-on-bess" TargetMode="External"/><Relationship Id="rId24" Type="http://schemas.openxmlformats.org/officeDocument/2006/relationships/hyperlink" Target="https://greendealflow.com/italy-what-are-the-opportunities-beyond-macse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30"/>
    <col collapsed="false" customWidth="true" hidden="false" outlineLevel="0" max="6" min="3" style="0" width="25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30" hidden="false" customHeight="true" outlineLevel="0" collapsed="false">
      <c r="A2" s="1"/>
      <c r="B2" s="1"/>
      <c r="C2" s="1"/>
      <c r="D2" s="1"/>
      <c r="E2" s="1"/>
      <c r="F2" s="1"/>
    </row>
    <row r="3" customFormat="false" ht="30" hidden="false" customHeight="true" outlineLevel="0" collapsed="false">
      <c r="A3" s="1"/>
      <c r="B3" s="1"/>
      <c r="C3" s="1"/>
      <c r="D3" s="1"/>
      <c r="E3" s="1"/>
      <c r="F3" s="1"/>
    </row>
    <row r="5" customFormat="false" ht="21.75" hidden="false" customHeight="true" outlineLevel="0" collapsed="false">
      <c r="A5" s="2" t="s">
        <v>1</v>
      </c>
      <c r="B5" s="3" t="s">
        <v>2</v>
      </c>
      <c r="C5" s="3"/>
      <c r="D5" s="3"/>
      <c r="E5" s="3"/>
      <c r="F5" s="3"/>
    </row>
    <row r="6" customFormat="false" ht="21.75" hidden="false" customHeight="true" outlineLevel="0" collapsed="false">
      <c r="A6" s="2" t="s">
        <v>3</v>
      </c>
      <c r="B6" s="3" t="s">
        <v>4</v>
      </c>
      <c r="C6" s="3"/>
      <c r="D6" s="3"/>
      <c r="E6" s="3"/>
      <c r="F6" s="3"/>
    </row>
    <row r="7" customFormat="false" ht="21.75" hidden="false" customHeight="true" outlineLevel="0" collapsed="false">
      <c r="A7" s="2" t="s">
        <v>5</v>
      </c>
      <c r="B7" s="3" t="s">
        <v>6</v>
      </c>
      <c r="C7" s="3"/>
      <c r="D7" s="3"/>
      <c r="E7" s="3"/>
      <c r="F7" s="3"/>
    </row>
    <row r="8" customFormat="false" ht="21.75" hidden="false" customHeight="true" outlineLevel="0" collapsed="false">
      <c r="A8" s="2" t="s">
        <v>7</v>
      </c>
      <c r="B8" s="3" t="s">
        <v>8</v>
      </c>
      <c r="C8" s="3"/>
      <c r="D8" s="3"/>
      <c r="E8" s="3"/>
      <c r="F8" s="3"/>
    </row>
    <row r="9" customFormat="false" ht="21.75" hidden="false" customHeight="true" outlineLevel="0" collapsed="false">
      <c r="A9" s="2" t="s">
        <v>9</v>
      </c>
      <c r="B9" s="3" t="s">
        <v>10</v>
      </c>
      <c r="C9" s="3"/>
      <c r="D9" s="3"/>
      <c r="E9" s="3"/>
      <c r="F9" s="3"/>
    </row>
    <row r="10" customFormat="false" ht="36" hidden="false" customHeight="true" outlineLevel="0" collapsed="false">
      <c r="A10" s="2" t="s">
        <v>11</v>
      </c>
      <c r="B10" s="3" t="s">
        <v>12</v>
      </c>
      <c r="C10" s="3"/>
      <c r="D10" s="3"/>
      <c r="E10" s="3"/>
      <c r="F10" s="3"/>
    </row>
    <row r="11" customFormat="false" ht="36" hidden="false" customHeight="true" outlineLevel="0" collapsed="false">
      <c r="A11" s="2" t="s">
        <v>13</v>
      </c>
      <c r="B11" s="3" t="s">
        <v>14</v>
      </c>
      <c r="C11" s="3"/>
      <c r="D11" s="3"/>
      <c r="E11" s="3"/>
      <c r="F11" s="3"/>
    </row>
    <row r="12" customFormat="false" ht="36" hidden="false" customHeight="true" outlineLevel="0" collapsed="false">
      <c r="A12" s="2" t="s">
        <v>15</v>
      </c>
      <c r="B12" s="3" t="s">
        <v>16</v>
      </c>
      <c r="C12" s="3"/>
      <c r="D12" s="3"/>
      <c r="E12" s="3"/>
      <c r="F12" s="3"/>
    </row>
    <row r="14" customFormat="false" ht="15" hidden="false" customHeight="true" outlineLevel="0" collapsed="false">
      <c r="A14" s="4" t="s">
        <v>17</v>
      </c>
      <c r="B14" s="4"/>
      <c r="C14" s="4"/>
      <c r="D14" s="4"/>
      <c r="E14" s="4"/>
      <c r="F14" s="4"/>
    </row>
    <row r="15" customFormat="false" ht="15" hidden="false" customHeight="true" outlineLevel="0" collapsed="false">
      <c r="A15" s="5" t="s">
        <v>18</v>
      </c>
      <c r="B15" s="6" t="s">
        <v>19</v>
      </c>
      <c r="C15" s="6"/>
      <c r="D15" s="6"/>
      <c r="E15" s="6"/>
      <c r="F15" s="6"/>
    </row>
    <row r="16" customFormat="false" ht="15" hidden="false" customHeight="true" outlineLevel="0" collapsed="false">
      <c r="A16" s="7" t="s">
        <v>20</v>
      </c>
      <c r="B16" s="8" t="s">
        <v>21</v>
      </c>
      <c r="C16" s="8"/>
      <c r="D16" s="8"/>
      <c r="E16" s="8"/>
      <c r="F16" s="8"/>
    </row>
    <row r="17" customFormat="false" ht="15" hidden="false" customHeight="true" outlineLevel="0" collapsed="false">
      <c r="A17" s="7" t="s">
        <v>22</v>
      </c>
      <c r="B17" s="8" t="s">
        <v>23</v>
      </c>
      <c r="C17" s="8"/>
      <c r="D17" s="8"/>
      <c r="E17" s="8"/>
      <c r="F17" s="8"/>
    </row>
    <row r="18" customFormat="false" ht="15" hidden="false" customHeight="true" outlineLevel="0" collapsed="false">
      <c r="A18" s="7" t="s">
        <v>24</v>
      </c>
      <c r="B18" s="8" t="s">
        <v>25</v>
      </c>
      <c r="C18" s="8"/>
      <c r="D18" s="8"/>
      <c r="E18" s="8"/>
      <c r="F18" s="8"/>
    </row>
    <row r="19" customFormat="false" ht="15" hidden="false" customHeight="true" outlineLevel="0" collapsed="false">
      <c r="A19" s="7" t="s">
        <v>26</v>
      </c>
      <c r="B19" s="8" t="s">
        <v>27</v>
      </c>
      <c r="C19" s="8"/>
      <c r="D19" s="8"/>
      <c r="E19" s="8"/>
      <c r="F19" s="8"/>
    </row>
    <row r="20" customFormat="false" ht="15" hidden="false" customHeight="true" outlineLevel="0" collapsed="false">
      <c r="A20" s="7" t="s">
        <v>28</v>
      </c>
      <c r="B20" s="8" t="s">
        <v>29</v>
      </c>
      <c r="C20" s="8"/>
      <c r="D20" s="8"/>
      <c r="E20" s="8"/>
      <c r="F20" s="8"/>
    </row>
    <row r="21" customFormat="false" ht="15" hidden="false" customHeight="true" outlineLevel="0" collapsed="false">
      <c r="A21" s="7" t="s">
        <v>30</v>
      </c>
      <c r="B21" s="8" t="s">
        <v>31</v>
      </c>
      <c r="C21" s="8"/>
      <c r="D21" s="8"/>
      <c r="E21" s="8"/>
      <c r="F21" s="8"/>
    </row>
  </sheetData>
  <mergeCells count="17">
    <mergeCell ref="A1:F3"/>
    <mergeCell ref="B5:F5"/>
    <mergeCell ref="B6:F6"/>
    <mergeCell ref="B7:F7"/>
    <mergeCell ref="B8:F8"/>
    <mergeCell ref="B9:F9"/>
    <mergeCell ref="B10:F10"/>
    <mergeCell ref="B11:F11"/>
    <mergeCell ref="B12:F12"/>
    <mergeCell ref="A14:F14"/>
    <mergeCell ref="B15:F15"/>
    <mergeCell ref="B16:F16"/>
    <mergeCell ref="B17:F17"/>
    <mergeCell ref="B18:F18"/>
    <mergeCell ref="B19:F19"/>
    <mergeCell ref="B20:F20"/>
    <mergeCell ref="B21:F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4" min="2" style="0" width="42"/>
  </cols>
  <sheetData>
    <row r="1" customFormat="false" ht="27.75" hidden="false" customHeight="true" outlineLevel="0" collapsed="false">
      <c r="A1" s="9" t="s">
        <v>32</v>
      </c>
      <c r="B1" s="9"/>
      <c r="C1" s="9"/>
      <c r="D1" s="9"/>
    </row>
    <row r="3" customFormat="false" ht="27.75" hidden="false" customHeight="true" outlineLevel="0" collapsed="false">
      <c r="A3" s="10" t="s">
        <v>33</v>
      </c>
      <c r="B3" s="11" t="s">
        <v>34</v>
      </c>
      <c r="C3" s="12" t="s">
        <v>35</v>
      </c>
      <c r="D3" s="13" t="s">
        <v>36</v>
      </c>
    </row>
    <row r="4" customFormat="false" ht="31.5" hidden="false" customHeight="true" outlineLevel="0" collapsed="false">
      <c r="A4" s="14" t="s">
        <v>37</v>
      </c>
      <c r="B4" s="15" t="s">
        <v>38</v>
      </c>
      <c r="C4" s="15" t="s">
        <v>39</v>
      </c>
      <c r="D4" s="15" t="s">
        <v>40</v>
      </c>
    </row>
    <row r="5" customFormat="false" ht="31.5" hidden="false" customHeight="true" outlineLevel="0" collapsed="false">
      <c r="A5" s="14" t="s">
        <v>41</v>
      </c>
      <c r="B5" s="15" t="s">
        <v>42</v>
      </c>
      <c r="C5" s="15" t="s">
        <v>43</v>
      </c>
      <c r="D5" s="15" t="s">
        <v>44</v>
      </c>
    </row>
    <row r="6" customFormat="false" ht="31.5" hidden="false" customHeight="true" outlineLevel="0" collapsed="false">
      <c r="A6" s="14" t="s">
        <v>45</v>
      </c>
      <c r="B6" s="15" t="s">
        <v>46</v>
      </c>
      <c r="C6" s="15" t="s">
        <v>47</v>
      </c>
      <c r="D6" s="15" t="s">
        <v>47</v>
      </c>
    </row>
    <row r="7" customFormat="false" ht="31.5" hidden="false" customHeight="true" outlineLevel="0" collapsed="false">
      <c r="A7" s="14" t="s">
        <v>48</v>
      </c>
      <c r="B7" s="15" t="s">
        <v>49</v>
      </c>
      <c r="C7" s="15" t="s">
        <v>50</v>
      </c>
      <c r="D7" s="15" t="s">
        <v>51</v>
      </c>
    </row>
    <row r="8" customFormat="false" ht="33.75" hidden="false" customHeight="true" outlineLevel="0" collapsed="false">
      <c r="A8" s="14" t="s">
        <v>52</v>
      </c>
      <c r="B8" s="15" t="s">
        <v>53</v>
      </c>
      <c r="C8" s="15" t="s">
        <v>54</v>
      </c>
      <c r="D8" s="15" t="s">
        <v>55</v>
      </c>
    </row>
    <row r="9" customFormat="false" ht="49.5" hidden="false" customHeight="true" outlineLevel="0" collapsed="false">
      <c r="A9" s="14" t="s">
        <v>56</v>
      </c>
      <c r="B9" s="15" t="s">
        <v>57</v>
      </c>
      <c r="C9" s="15" t="s">
        <v>58</v>
      </c>
      <c r="D9" s="15" t="s">
        <v>58</v>
      </c>
    </row>
    <row r="10" customFormat="false" ht="31.5" hidden="false" customHeight="true" outlineLevel="0" collapsed="false">
      <c r="A10" s="14" t="s">
        <v>59</v>
      </c>
      <c r="B10" s="15" t="s">
        <v>10</v>
      </c>
      <c r="C10" s="15" t="s">
        <v>60</v>
      </c>
      <c r="D10" s="15" t="s">
        <v>60</v>
      </c>
    </row>
    <row r="11" customFormat="false" ht="31.5" hidden="false" customHeight="true" outlineLevel="0" collapsed="false">
      <c r="A11" s="14" t="s">
        <v>61</v>
      </c>
      <c r="B11" s="15" t="s">
        <v>62</v>
      </c>
      <c r="C11" s="15" t="s">
        <v>63</v>
      </c>
      <c r="D11" s="15" t="s">
        <v>64</v>
      </c>
    </row>
    <row r="12" customFormat="false" ht="31.5" hidden="false" customHeight="true" outlineLevel="0" collapsed="false">
      <c r="A12" s="14" t="s">
        <v>65</v>
      </c>
      <c r="B12" s="15" t="s">
        <v>66</v>
      </c>
      <c r="C12" s="15" t="s">
        <v>67</v>
      </c>
      <c r="D12" s="15" t="s">
        <v>68</v>
      </c>
    </row>
    <row r="13" customFormat="false" ht="31.5" hidden="false" customHeight="true" outlineLevel="0" collapsed="false">
      <c r="A13" s="14" t="s">
        <v>69</v>
      </c>
      <c r="B13" s="15" t="s">
        <v>70</v>
      </c>
      <c r="C13" s="15" t="s">
        <v>71</v>
      </c>
      <c r="D13" s="15" t="s">
        <v>72</v>
      </c>
    </row>
    <row r="14" customFormat="false" ht="31.5" hidden="false" customHeight="true" outlineLevel="0" collapsed="false">
      <c r="A14" s="14" t="s">
        <v>73</v>
      </c>
      <c r="B14" s="15" t="s">
        <v>74</v>
      </c>
      <c r="C14" s="15" t="s">
        <v>75</v>
      </c>
      <c r="D14" s="15" t="s">
        <v>76</v>
      </c>
    </row>
    <row r="15" customFormat="false" ht="31.5" hidden="false" customHeight="true" outlineLevel="0" collapsed="false">
      <c r="A15" s="14" t="s">
        <v>77</v>
      </c>
      <c r="B15" s="15" t="s">
        <v>78</v>
      </c>
      <c r="C15" s="15" t="s">
        <v>79</v>
      </c>
      <c r="D15" s="15" t="s">
        <v>80</v>
      </c>
    </row>
    <row r="16" customFormat="false" ht="57" hidden="false" customHeight="true" outlineLevel="0" collapsed="false">
      <c r="A16" s="14" t="s">
        <v>81</v>
      </c>
      <c r="B16" s="15" t="s">
        <v>82</v>
      </c>
      <c r="C16" s="15" t="s">
        <v>83</v>
      </c>
      <c r="D16" s="15" t="s">
        <v>84</v>
      </c>
    </row>
    <row r="17" customFormat="false" ht="31.5" hidden="false" customHeight="true" outlineLevel="0" collapsed="false">
      <c r="A17" s="14" t="s">
        <v>85</v>
      </c>
      <c r="B17" s="15" t="s">
        <v>86</v>
      </c>
      <c r="C17" s="15" t="s">
        <v>87</v>
      </c>
      <c r="D17" s="15" t="s">
        <v>88</v>
      </c>
    </row>
    <row r="18" customFormat="false" ht="31.5" hidden="false" customHeight="true" outlineLevel="0" collapsed="false">
      <c r="A18" s="14" t="s">
        <v>89</v>
      </c>
      <c r="B18" s="15" t="s">
        <v>90</v>
      </c>
      <c r="C18" s="15" t="s">
        <v>91</v>
      </c>
      <c r="D18" s="15" t="s">
        <v>92</v>
      </c>
    </row>
    <row r="20" customFormat="false" ht="22.35" hidden="false" customHeight="true" outlineLevel="0" collapsed="false">
      <c r="A20" s="16" t="s">
        <v>93</v>
      </c>
      <c r="B20" s="16"/>
      <c r="C20" s="16"/>
      <c r="D20" s="16"/>
    </row>
  </sheetData>
  <mergeCells count="2">
    <mergeCell ref="A1:D1"/>
    <mergeCell ref="A20:D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5" min="2" style="0" width="36"/>
  </cols>
  <sheetData>
    <row r="1" customFormat="false" ht="27.75" hidden="false" customHeight="true" outlineLevel="0" collapsed="false">
      <c r="A1" s="9" t="s">
        <v>94</v>
      </c>
      <c r="B1" s="9"/>
      <c r="C1" s="9"/>
      <c r="D1" s="9"/>
      <c r="E1" s="9"/>
    </row>
    <row r="3" customFormat="false" ht="27.75" hidden="false" customHeight="true" outlineLevel="0" collapsed="false">
      <c r="A3" s="10" t="s">
        <v>33</v>
      </c>
      <c r="B3" s="5" t="s">
        <v>95</v>
      </c>
      <c r="C3" s="5" t="s">
        <v>96</v>
      </c>
      <c r="D3" s="5" t="s">
        <v>97</v>
      </c>
      <c r="E3" s="5" t="s">
        <v>98</v>
      </c>
    </row>
    <row r="4" customFormat="false" ht="55.5" hidden="false" customHeight="true" outlineLevel="0" collapsed="false">
      <c r="A4" s="14" t="s">
        <v>99</v>
      </c>
      <c r="B4" s="15" t="s">
        <v>100</v>
      </c>
      <c r="C4" s="15" t="s">
        <v>101</v>
      </c>
      <c r="D4" s="15" t="s">
        <v>102</v>
      </c>
      <c r="E4" s="15" t="s">
        <v>103</v>
      </c>
    </row>
    <row r="5" customFormat="false" ht="36" hidden="false" customHeight="true" outlineLevel="0" collapsed="false">
      <c r="A5" s="14" t="s">
        <v>104</v>
      </c>
      <c r="B5" s="15" t="s">
        <v>105</v>
      </c>
      <c r="C5" s="15" t="s">
        <v>106</v>
      </c>
      <c r="D5" s="15" t="s">
        <v>107</v>
      </c>
      <c r="E5" s="15" t="s">
        <v>108</v>
      </c>
    </row>
    <row r="6" customFormat="false" ht="36" hidden="false" customHeight="true" outlineLevel="0" collapsed="false">
      <c r="A6" s="14" t="s">
        <v>109</v>
      </c>
      <c r="B6" s="15" t="s">
        <v>110</v>
      </c>
      <c r="C6" s="15" t="s">
        <v>111</v>
      </c>
      <c r="D6" s="15" t="s">
        <v>112</v>
      </c>
      <c r="E6" s="15" t="s">
        <v>113</v>
      </c>
    </row>
    <row r="7" customFormat="false" ht="39" hidden="false" customHeight="true" outlineLevel="0" collapsed="false">
      <c r="A7" s="14" t="s">
        <v>56</v>
      </c>
      <c r="B7" s="15" t="s">
        <v>114</v>
      </c>
      <c r="C7" s="15" t="s">
        <v>115</v>
      </c>
      <c r="D7" s="15" t="s">
        <v>116</v>
      </c>
      <c r="E7" s="15" t="s">
        <v>117</v>
      </c>
    </row>
    <row r="8" customFormat="false" ht="84" hidden="false" customHeight="true" outlineLevel="0" collapsed="false">
      <c r="A8" s="14" t="s">
        <v>118</v>
      </c>
      <c r="B8" s="15" t="s">
        <v>119</v>
      </c>
      <c r="C8" s="15" t="s">
        <v>120</v>
      </c>
      <c r="D8" s="15" t="s">
        <v>121</v>
      </c>
      <c r="E8" s="15" t="s">
        <v>122</v>
      </c>
    </row>
    <row r="9" customFormat="false" ht="36" hidden="false" customHeight="true" outlineLevel="0" collapsed="false">
      <c r="A9" s="14" t="s">
        <v>123</v>
      </c>
      <c r="B9" s="15" t="s">
        <v>124</v>
      </c>
      <c r="C9" s="15" t="s">
        <v>125</v>
      </c>
      <c r="D9" s="15" t="s">
        <v>126</v>
      </c>
      <c r="E9" s="15" t="s">
        <v>127</v>
      </c>
    </row>
    <row r="10" customFormat="false" ht="36" hidden="false" customHeight="true" outlineLevel="0" collapsed="false">
      <c r="A10" s="14" t="s">
        <v>128</v>
      </c>
      <c r="B10" s="15" t="s">
        <v>129</v>
      </c>
      <c r="C10" s="15" t="s">
        <v>130</v>
      </c>
      <c r="D10" s="15" t="s">
        <v>131</v>
      </c>
      <c r="E10" s="15" t="s">
        <v>132</v>
      </c>
    </row>
    <row r="11" customFormat="false" ht="37.5" hidden="false" customHeight="true" outlineLevel="0" collapsed="false">
      <c r="A11" s="14" t="s">
        <v>89</v>
      </c>
      <c r="B11" s="15" t="s">
        <v>133</v>
      </c>
      <c r="C11" s="15" t="s">
        <v>134</v>
      </c>
      <c r="D11" s="15" t="s">
        <v>135</v>
      </c>
      <c r="E11" s="15" t="s">
        <v>136</v>
      </c>
    </row>
    <row r="12" customFormat="false" ht="39" hidden="false" customHeight="true" outlineLevel="0" collapsed="false">
      <c r="A12" s="14" t="s">
        <v>137</v>
      </c>
      <c r="B12" s="15" t="s">
        <v>138</v>
      </c>
      <c r="C12" s="15" t="s">
        <v>139</v>
      </c>
      <c r="D12" s="15" t="s">
        <v>140</v>
      </c>
      <c r="E12" s="15" t="s">
        <v>141</v>
      </c>
    </row>
    <row r="13" customFormat="false" ht="75.75" hidden="false" customHeight="true" outlineLevel="0" collapsed="false">
      <c r="A13" s="14" t="s">
        <v>142</v>
      </c>
      <c r="B13" s="17" t="s">
        <v>143</v>
      </c>
      <c r="C13" s="17" t="s">
        <v>144</v>
      </c>
      <c r="D13" s="17" t="s">
        <v>145</v>
      </c>
      <c r="E13" s="17" t="s">
        <v>146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4" min="4" style="0" width="30"/>
    <col collapsed="false" customWidth="true" hidden="false" outlineLevel="0" max="5" min="5" style="0" width="50"/>
    <col collapsed="false" customWidth="true" hidden="false" outlineLevel="0" max="6" min="6" style="0" width="18"/>
  </cols>
  <sheetData>
    <row r="1" customFormat="false" ht="27.75" hidden="false" customHeight="true" outlineLevel="0" collapsed="false">
      <c r="A1" s="9" t="s">
        <v>147</v>
      </c>
      <c r="B1" s="9"/>
      <c r="C1" s="9"/>
      <c r="D1" s="9"/>
      <c r="E1" s="9"/>
      <c r="F1" s="9"/>
    </row>
    <row r="2" customFormat="false" ht="36" hidden="false" customHeight="true" outlineLevel="0" collapsed="false">
      <c r="A2" s="16" t="s">
        <v>148</v>
      </c>
      <c r="B2" s="16"/>
      <c r="C2" s="16"/>
      <c r="D2" s="16"/>
      <c r="E2" s="16"/>
      <c r="F2" s="16"/>
    </row>
    <row r="4" customFormat="false" ht="15" hidden="false" customHeight="true" outlineLevel="0" collapsed="false">
      <c r="A4" s="4" t="s">
        <v>149</v>
      </c>
      <c r="B4" s="4"/>
      <c r="C4" s="4"/>
      <c r="D4" s="4"/>
      <c r="E4" s="4"/>
      <c r="F4" s="4"/>
    </row>
    <row r="5" customFormat="false" ht="15" hidden="false" customHeight="false" outlineLevel="0" collapsed="false">
      <c r="A5" s="5" t="s">
        <v>150</v>
      </c>
      <c r="B5" s="5" t="s">
        <v>151</v>
      </c>
      <c r="C5" s="5" t="s">
        <v>152</v>
      </c>
      <c r="D5" s="5" t="s">
        <v>153</v>
      </c>
      <c r="E5" s="5" t="s">
        <v>154</v>
      </c>
      <c r="F5" s="5" t="s">
        <v>155</v>
      </c>
    </row>
    <row r="6" customFormat="false" ht="60" hidden="false" customHeight="true" outlineLevel="0" collapsed="false">
      <c r="A6" s="18" t="s">
        <v>34</v>
      </c>
      <c r="B6" s="19" t="n">
        <v>45</v>
      </c>
      <c r="C6" s="20" t="n">
        <v>50</v>
      </c>
      <c r="D6" s="15" t="s">
        <v>156</v>
      </c>
      <c r="E6" s="15" t="s">
        <v>157</v>
      </c>
      <c r="F6" s="15" t="s">
        <v>158</v>
      </c>
    </row>
    <row r="7" customFormat="false" ht="60" hidden="false" customHeight="true" outlineLevel="0" collapsed="false">
      <c r="A7" s="18" t="s">
        <v>35</v>
      </c>
      <c r="B7" s="19" t="n">
        <v>35</v>
      </c>
      <c r="C7" s="20" t="n">
        <v>25</v>
      </c>
      <c r="D7" s="15" t="s">
        <v>159</v>
      </c>
      <c r="E7" s="15" t="s">
        <v>160</v>
      </c>
      <c r="F7" s="15" t="s">
        <v>161</v>
      </c>
    </row>
    <row r="8" customFormat="false" ht="60" hidden="false" customHeight="true" outlineLevel="0" collapsed="false">
      <c r="A8" s="18" t="s">
        <v>36</v>
      </c>
      <c r="B8" s="19" t="n">
        <v>25</v>
      </c>
      <c r="C8" s="20" t="n">
        <v>12</v>
      </c>
      <c r="D8" s="15" t="s">
        <v>162</v>
      </c>
      <c r="E8" s="15" t="s">
        <v>163</v>
      </c>
      <c r="F8" s="15" t="s">
        <v>161</v>
      </c>
    </row>
    <row r="10" customFormat="false" ht="15" hidden="false" customHeight="true" outlineLevel="0" collapsed="false">
      <c r="A10" s="4" t="s">
        <v>164</v>
      </c>
      <c r="B10" s="4"/>
      <c r="C10" s="4"/>
      <c r="D10" s="4"/>
      <c r="E10" s="4"/>
      <c r="F10" s="4"/>
    </row>
    <row r="11" customFormat="false" ht="15" hidden="false" customHeight="false" outlineLevel="0" collapsed="false">
      <c r="A11" s="5" t="s">
        <v>150</v>
      </c>
      <c r="B11" s="5" t="s">
        <v>151</v>
      </c>
      <c r="C11" s="5" t="s">
        <v>152</v>
      </c>
      <c r="D11" s="5" t="s">
        <v>153</v>
      </c>
      <c r="E11" s="5" t="s">
        <v>154</v>
      </c>
      <c r="F11" s="5" t="s">
        <v>155</v>
      </c>
    </row>
    <row r="12" customFormat="false" ht="60" hidden="false" customHeight="true" outlineLevel="0" collapsed="false">
      <c r="A12" s="18" t="s">
        <v>34</v>
      </c>
      <c r="B12" s="19" t="n">
        <v>120</v>
      </c>
      <c r="C12" s="21" t="n">
        <v>100</v>
      </c>
      <c r="D12" s="15" t="s">
        <v>165</v>
      </c>
      <c r="E12" s="15" t="s">
        <v>166</v>
      </c>
      <c r="F12" s="15" t="s">
        <v>167</v>
      </c>
    </row>
    <row r="13" customFormat="false" ht="60" hidden="false" customHeight="true" outlineLevel="0" collapsed="false">
      <c r="A13" s="18" t="s">
        <v>35</v>
      </c>
      <c r="B13" s="19" t="n">
        <v>100</v>
      </c>
      <c r="C13" s="21" t="n">
        <v>250</v>
      </c>
      <c r="D13" s="15" t="s">
        <v>168</v>
      </c>
      <c r="E13" s="15" t="s">
        <v>169</v>
      </c>
      <c r="F13" s="15" t="s">
        <v>161</v>
      </c>
    </row>
    <row r="14" customFormat="false" ht="60" hidden="false" customHeight="true" outlineLevel="0" collapsed="false">
      <c r="A14" s="18" t="s">
        <v>36</v>
      </c>
      <c r="B14" s="19" t="n">
        <v>80</v>
      </c>
      <c r="C14" s="21" t="n">
        <v>180</v>
      </c>
      <c r="D14" s="15" t="s">
        <v>170</v>
      </c>
      <c r="E14" s="15" t="s">
        <v>171</v>
      </c>
      <c r="F14" s="15" t="s">
        <v>158</v>
      </c>
    </row>
    <row r="16" customFormat="false" ht="15" hidden="false" customHeight="true" outlineLevel="0" collapsed="false">
      <c r="A16" s="4" t="s">
        <v>172</v>
      </c>
      <c r="B16" s="4"/>
      <c r="C16" s="4"/>
      <c r="D16" s="4"/>
      <c r="E16" s="4"/>
      <c r="F16" s="4"/>
    </row>
    <row r="17" customFormat="false" ht="15" hidden="false" customHeight="false" outlineLevel="0" collapsed="false">
      <c r="A17" s="5" t="s">
        <v>150</v>
      </c>
      <c r="B17" s="5" t="s">
        <v>151</v>
      </c>
      <c r="C17" s="5" t="s">
        <v>152</v>
      </c>
      <c r="D17" s="5" t="s">
        <v>153</v>
      </c>
      <c r="E17" s="5" t="s">
        <v>154</v>
      </c>
      <c r="F17" s="5" t="s">
        <v>155</v>
      </c>
    </row>
    <row r="18" customFormat="false" ht="60" hidden="false" customHeight="true" outlineLevel="0" collapsed="false">
      <c r="A18" s="18" t="s">
        <v>34</v>
      </c>
      <c r="B18" s="22" t="n">
        <v>0.15</v>
      </c>
      <c r="C18" s="23" t="n">
        <v>0.1</v>
      </c>
      <c r="D18" s="15" t="s">
        <v>173</v>
      </c>
      <c r="E18" s="15" t="s">
        <v>174</v>
      </c>
      <c r="F18" s="15" t="s">
        <v>175</v>
      </c>
    </row>
    <row r="19" customFormat="false" ht="60" hidden="false" customHeight="true" outlineLevel="0" collapsed="false">
      <c r="A19" s="18" t="s">
        <v>35</v>
      </c>
      <c r="B19" s="22" t="n">
        <v>0.25</v>
      </c>
      <c r="C19" s="23" t="n">
        <v>0.3</v>
      </c>
      <c r="D19" s="15" t="s">
        <v>176</v>
      </c>
      <c r="E19" s="15" t="s">
        <v>177</v>
      </c>
      <c r="F19" s="15" t="s">
        <v>161</v>
      </c>
    </row>
    <row r="20" customFormat="false" ht="60" hidden="false" customHeight="true" outlineLevel="0" collapsed="false">
      <c r="A20" s="18" t="s">
        <v>36</v>
      </c>
      <c r="B20" s="22" t="n">
        <v>0.35</v>
      </c>
      <c r="C20" s="23" t="n">
        <v>0.2</v>
      </c>
      <c r="D20" s="15" t="s">
        <v>178</v>
      </c>
      <c r="E20" s="15" t="s">
        <v>179</v>
      </c>
      <c r="F20" s="15" t="s">
        <v>161</v>
      </c>
    </row>
    <row r="22" customFormat="false" ht="15" hidden="false" customHeight="true" outlineLevel="0" collapsed="false">
      <c r="A22" s="4" t="s">
        <v>180</v>
      </c>
      <c r="B22" s="4"/>
      <c r="C22" s="4"/>
      <c r="D22" s="4"/>
      <c r="E22" s="4"/>
      <c r="F22" s="4"/>
    </row>
    <row r="23" customFormat="false" ht="15" hidden="false" customHeight="false" outlineLevel="0" collapsed="false">
      <c r="A23" s="24" t="s">
        <v>181</v>
      </c>
      <c r="B23" s="24"/>
      <c r="C23" s="24"/>
      <c r="D23" s="24"/>
      <c r="E23" s="24"/>
      <c r="F23" s="24"/>
    </row>
    <row r="24" customFormat="false" ht="23.85" hidden="false" customHeight="false" outlineLevel="0" collapsed="false">
      <c r="A24" s="5" t="s">
        <v>150</v>
      </c>
      <c r="B24" s="5" t="s">
        <v>182</v>
      </c>
      <c r="C24" s="5" t="s">
        <v>183</v>
      </c>
      <c r="D24" s="5" t="s">
        <v>184</v>
      </c>
      <c r="E24" s="5" t="s">
        <v>185</v>
      </c>
      <c r="F24" s="5" t="s">
        <v>186</v>
      </c>
    </row>
    <row r="25" customFormat="false" ht="15" hidden="false" customHeight="false" outlineLevel="0" collapsed="false">
      <c r="A25" s="25" t="s">
        <v>34</v>
      </c>
      <c r="B25" s="26" t="n">
        <f aca="false">C6</f>
        <v>50</v>
      </c>
      <c r="C25" s="27" t="n">
        <f aca="false">C12</f>
        <v>100</v>
      </c>
      <c r="D25" s="28" t="n">
        <f aca="false">C18</f>
        <v>0.1</v>
      </c>
      <c r="E25" s="29" t="n">
        <f aca="false">C6+0.5*C12*C18</f>
        <v>55</v>
      </c>
      <c r="F25" s="30" t="n">
        <f aca="false">RANK(E25,E$25:E$27,0)</f>
        <v>2</v>
      </c>
    </row>
    <row r="26" customFormat="false" ht="15" hidden="false" customHeight="false" outlineLevel="0" collapsed="false">
      <c r="A26" s="25" t="s">
        <v>35</v>
      </c>
      <c r="B26" s="26" t="n">
        <f aca="false">C7</f>
        <v>25</v>
      </c>
      <c r="C26" s="27" t="n">
        <f aca="false">C13</f>
        <v>250</v>
      </c>
      <c r="D26" s="28" t="n">
        <f aca="false">C19</f>
        <v>0.3</v>
      </c>
      <c r="E26" s="29" t="n">
        <f aca="false">C7+0.5*C13*C19</f>
        <v>62.5</v>
      </c>
      <c r="F26" s="30" t="n">
        <f aca="false">RANK(E26,E$25:E$27,0)</f>
        <v>1</v>
      </c>
    </row>
    <row r="27" customFormat="false" ht="15" hidden="false" customHeight="false" outlineLevel="0" collapsed="false">
      <c r="A27" s="25" t="s">
        <v>36</v>
      </c>
      <c r="B27" s="26" t="n">
        <f aca="false">C8</f>
        <v>12</v>
      </c>
      <c r="C27" s="27" t="n">
        <f aca="false">C14</f>
        <v>180</v>
      </c>
      <c r="D27" s="28" t="n">
        <f aca="false">C20</f>
        <v>0.2</v>
      </c>
      <c r="E27" s="29" t="n">
        <f aca="false">C8+0.5*C14*C20</f>
        <v>30</v>
      </c>
      <c r="F27" s="30" t="n">
        <f aca="false">RANK(E27,E$25:E$27,0)</f>
        <v>3</v>
      </c>
    </row>
    <row r="28" customFormat="false" ht="15" hidden="false" customHeight="true" outlineLevel="0" collapsed="false">
      <c r="A28" s="31" t="s">
        <v>187</v>
      </c>
      <c r="B28" s="31"/>
      <c r="C28" s="31"/>
      <c r="D28" s="31"/>
      <c r="E28" s="31"/>
      <c r="F28" s="31"/>
    </row>
    <row r="29" customFormat="false" ht="15" hidden="false" customHeight="false" outlineLevel="0" collapsed="false">
      <c r="A29" s="31"/>
      <c r="B29" s="31"/>
      <c r="C29" s="31"/>
      <c r="D29" s="31"/>
      <c r="E29" s="31"/>
      <c r="F29" s="31"/>
    </row>
  </sheetData>
  <mergeCells count="8">
    <mergeCell ref="A1:F1"/>
    <mergeCell ref="A2:F2"/>
    <mergeCell ref="A4:F4"/>
    <mergeCell ref="A10:F10"/>
    <mergeCell ref="A16:F16"/>
    <mergeCell ref="A22:F22"/>
    <mergeCell ref="A23:F23"/>
    <mergeCell ref="A28:F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0"/>
    <col collapsed="false" customWidth="true" hidden="false" outlineLevel="0" max="3" min="3" style="0" width="70"/>
    <col collapsed="false" customWidth="true" hidden="false" outlineLevel="0" max="4" min="4" style="0" width="50"/>
  </cols>
  <sheetData>
    <row r="1" customFormat="false" ht="27.75" hidden="false" customHeight="true" outlineLevel="0" collapsed="false">
      <c r="A1" s="9" t="s">
        <v>188</v>
      </c>
      <c r="B1" s="9"/>
      <c r="C1" s="9"/>
      <c r="D1" s="9"/>
    </row>
    <row r="3" customFormat="false" ht="15" hidden="false" customHeight="false" outlineLevel="0" collapsed="false">
      <c r="A3" s="5" t="s">
        <v>189</v>
      </c>
      <c r="B3" s="5" t="s">
        <v>190</v>
      </c>
      <c r="C3" s="5" t="s">
        <v>191</v>
      </c>
      <c r="D3" s="5" t="s">
        <v>192</v>
      </c>
    </row>
    <row r="4" customFormat="false" ht="36" hidden="false" customHeight="true" outlineLevel="0" collapsed="false">
      <c r="A4" s="18" t="s">
        <v>193</v>
      </c>
      <c r="B4" s="15" t="s">
        <v>194</v>
      </c>
      <c r="C4" s="15" t="s">
        <v>195</v>
      </c>
      <c r="D4" s="32" t="s">
        <v>196</v>
      </c>
    </row>
    <row r="5" customFormat="false" ht="36" hidden="false" customHeight="true" outlineLevel="0" collapsed="false">
      <c r="A5" s="18" t="s">
        <v>197</v>
      </c>
      <c r="B5" s="15" t="s">
        <v>194</v>
      </c>
      <c r="C5" s="15" t="s">
        <v>198</v>
      </c>
      <c r="D5" s="32" t="s">
        <v>199</v>
      </c>
    </row>
    <row r="6" customFormat="false" ht="36" hidden="false" customHeight="true" outlineLevel="0" collapsed="false">
      <c r="A6" s="18" t="s">
        <v>200</v>
      </c>
      <c r="B6" s="15" t="s">
        <v>194</v>
      </c>
      <c r="C6" s="15" t="s">
        <v>201</v>
      </c>
      <c r="D6" s="32" t="s">
        <v>202</v>
      </c>
    </row>
    <row r="7" customFormat="false" ht="36" hidden="false" customHeight="true" outlineLevel="0" collapsed="false">
      <c r="A7" s="18" t="s">
        <v>203</v>
      </c>
      <c r="B7" s="15" t="s">
        <v>194</v>
      </c>
      <c r="C7" s="15" t="s">
        <v>204</v>
      </c>
      <c r="D7" s="32" t="s">
        <v>199</v>
      </c>
    </row>
    <row r="8" customFormat="false" ht="36" hidden="false" customHeight="true" outlineLevel="0" collapsed="false">
      <c r="A8" s="18" t="s">
        <v>205</v>
      </c>
      <c r="B8" s="15" t="s">
        <v>206</v>
      </c>
      <c r="C8" s="15" t="s">
        <v>207</v>
      </c>
      <c r="D8" s="32" t="s">
        <v>208</v>
      </c>
    </row>
    <row r="9" customFormat="false" ht="36" hidden="false" customHeight="true" outlineLevel="0" collapsed="false">
      <c r="A9" s="18" t="s">
        <v>209</v>
      </c>
      <c r="B9" s="15" t="s">
        <v>206</v>
      </c>
      <c r="C9" s="15" t="s">
        <v>210</v>
      </c>
      <c r="D9" s="32" t="s">
        <v>211</v>
      </c>
    </row>
    <row r="10" customFormat="false" ht="36" hidden="false" customHeight="true" outlineLevel="0" collapsed="false">
      <c r="A10" s="18" t="s">
        <v>212</v>
      </c>
      <c r="B10" s="15" t="s">
        <v>206</v>
      </c>
      <c r="C10" s="15" t="s">
        <v>213</v>
      </c>
      <c r="D10" s="32" t="s">
        <v>214</v>
      </c>
    </row>
    <row r="11" customFormat="false" ht="36" hidden="false" customHeight="true" outlineLevel="0" collapsed="false">
      <c r="A11" s="18" t="s">
        <v>215</v>
      </c>
      <c r="B11" s="15" t="s">
        <v>216</v>
      </c>
      <c r="C11" s="15" t="s">
        <v>217</v>
      </c>
      <c r="D11" s="32" t="s">
        <v>218</v>
      </c>
    </row>
    <row r="12" customFormat="false" ht="39.75" hidden="false" customHeight="true" outlineLevel="0" collapsed="false">
      <c r="A12" s="18" t="s">
        <v>219</v>
      </c>
      <c r="B12" s="15" t="s">
        <v>220</v>
      </c>
      <c r="C12" s="15" t="s">
        <v>221</v>
      </c>
      <c r="D12" s="32" t="s">
        <v>222</v>
      </c>
    </row>
    <row r="13" customFormat="false" ht="36.75" hidden="false" customHeight="true" outlineLevel="0" collapsed="false">
      <c r="A13" s="18" t="s">
        <v>223</v>
      </c>
      <c r="B13" s="15" t="s">
        <v>220</v>
      </c>
      <c r="C13" s="15" t="s">
        <v>224</v>
      </c>
      <c r="D13" s="32" t="s">
        <v>225</v>
      </c>
    </row>
    <row r="14" customFormat="false" ht="36" hidden="false" customHeight="true" outlineLevel="0" collapsed="false">
      <c r="A14" s="18" t="s">
        <v>226</v>
      </c>
      <c r="B14" s="15" t="s">
        <v>220</v>
      </c>
      <c r="C14" s="15" t="s">
        <v>227</v>
      </c>
      <c r="D14" s="32" t="s">
        <v>228</v>
      </c>
    </row>
    <row r="15" customFormat="false" ht="36" hidden="false" customHeight="true" outlineLevel="0" collapsed="false">
      <c r="A15" s="18" t="s">
        <v>229</v>
      </c>
      <c r="B15" s="15" t="s">
        <v>220</v>
      </c>
      <c r="C15" s="15" t="s">
        <v>230</v>
      </c>
      <c r="D15" s="32" t="s">
        <v>231</v>
      </c>
    </row>
    <row r="16" customFormat="false" ht="36" hidden="false" customHeight="true" outlineLevel="0" collapsed="false">
      <c r="A16" s="18" t="s">
        <v>232</v>
      </c>
      <c r="B16" s="15" t="s">
        <v>233</v>
      </c>
      <c r="C16" s="15" t="s">
        <v>234</v>
      </c>
      <c r="D16" s="32" t="s">
        <v>235</v>
      </c>
    </row>
    <row r="17" customFormat="false" ht="36" hidden="false" customHeight="true" outlineLevel="0" collapsed="false">
      <c r="A17" s="18" t="s">
        <v>236</v>
      </c>
      <c r="B17" s="15" t="s">
        <v>237</v>
      </c>
      <c r="C17" s="15" t="s">
        <v>238</v>
      </c>
      <c r="D17" s="32" t="s">
        <v>239</v>
      </c>
    </row>
    <row r="18" customFormat="false" ht="36" hidden="false" customHeight="true" outlineLevel="0" collapsed="false">
      <c r="A18" s="18" t="s">
        <v>240</v>
      </c>
      <c r="B18" s="15" t="s">
        <v>237</v>
      </c>
      <c r="C18" s="15" t="s">
        <v>241</v>
      </c>
      <c r="D18" s="32" t="s">
        <v>242</v>
      </c>
    </row>
    <row r="19" customFormat="false" ht="36" hidden="false" customHeight="true" outlineLevel="0" collapsed="false">
      <c r="A19" s="18" t="s">
        <v>243</v>
      </c>
      <c r="B19" s="15" t="s">
        <v>237</v>
      </c>
      <c r="C19" s="15" t="s">
        <v>244</v>
      </c>
      <c r="D19" s="32" t="s">
        <v>245</v>
      </c>
    </row>
    <row r="20" customFormat="false" ht="39" hidden="false" customHeight="true" outlineLevel="0" collapsed="false">
      <c r="A20" s="18" t="s">
        <v>246</v>
      </c>
      <c r="B20" s="15" t="s">
        <v>237</v>
      </c>
      <c r="C20" s="15" t="s">
        <v>247</v>
      </c>
      <c r="D20" s="32" t="s">
        <v>248</v>
      </c>
    </row>
    <row r="21" customFormat="false" ht="36" hidden="false" customHeight="true" outlineLevel="0" collapsed="false">
      <c r="A21" s="18" t="s">
        <v>249</v>
      </c>
      <c r="B21" s="15" t="s">
        <v>250</v>
      </c>
      <c r="C21" s="15" t="s">
        <v>251</v>
      </c>
      <c r="D21" s="32" t="s">
        <v>252</v>
      </c>
    </row>
    <row r="22" customFormat="false" ht="36" hidden="false" customHeight="true" outlineLevel="0" collapsed="false">
      <c r="A22" s="18" t="s">
        <v>253</v>
      </c>
      <c r="B22" s="15" t="s">
        <v>250</v>
      </c>
      <c r="C22" s="15" t="s">
        <v>254</v>
      </c>
      <c r="D22" s="32" t="s">
        <v>255</v>
      </c>
    </row>
    <row r="23" customFormat="false" ht="36" hidden="false" customHeight="true" outlineLevel="0" collapsed="false">
      <c r="A23" s="18" t="s">
        <v>256</v>
      </c>
      <c r="B23" s="15" t="s">
        <v>257</v>
      </c>
      <c r="C23" s="15" t="s">
        <v>258</v>
      </c>
      <c r="D23" s="32" t="s">
        <v>259</v>
      </c>
    </row>
    <row r="24" customFormat="false" ht="36" hidden="false" customHeight="true" outlineLevel="0" collapsed="false">
      <c r="A24" s="18" t="s">
        <v>260</v>
      </c>
      <c r="B24" s="15" t="s">
        <v>216</v>
      </c>
      <c r="C24" s="15" t="s">
        <v>261</v>
      </c>
      <c r="D24" s="32" t="s">
        <v>262</v>
      </c>
    </row>
    <row r="25" customFormat="false" ht="36" hidden="false" customHeight="true" outlineLevel="0" collapsed="false">
      <c r="A25" s="18" t="s">
        <v>263</v>
      </c>
      <c r="B25" s="15" t="s">
        <v>216</v>
      </c>
      <c r="C25" s="15" t="s">
        <v>264</v>
      </c>
      <c r="D25" s="32" t="s">
        <v>265</v>
      </c>
    </row>
    <row r="26" customFormat="false" ht="36" hidden="false" customHeight="true" outlineLevel="0" collapsed="false">
      <c r="A26" s="18" t="s">
        <v>266</v>
      </c>
      <c r="B26" s="15" t="s">
        <v>220</v>
      </c>
      <c r="C26" s="15" t="s">
        <v>267</v>
      </c>
      <c r="D26" s="32" t="s">
        <v>268</v>
      </c>
    </row>
    <row r="27" customFormat="false" ht="36" hidden="false" customHeight="true" outlineLevel="0" collapsed="false">
      <c r="A27" s="18" t="s">
        <v>269</v>
      </c>
      <c r="B27" s="15" t="s">
        <v>220</v>
      </c>
      <c r="C27" s="15" t="s">
        <v>270</v>
      </c>
      <c r="D27" s="32" t="s">
        <v>271</v>
      </c>
    </row>
  </sheetData>
  <mergeCells count="1">
    <mergeCell ref="A1:D1"/>
  </mergeCells>
  <hyperlinks>
    <hyperlink ref="D4" r:id="rId1" display="https://www.arera.it/atti-e-provvedimenti/dettaglio/345-2023-r-eel"/>
    <hyperlink ref="D5" r:id="rId2" display="https://www.arera.it/"/>
    <hyperlink ref="D6" r:id="rId3" display="https://www.arera.it/atti-e-provvedimenti/dettaglio/200-2020-r-eel"/>
    <hyperlink ref="D7" r:id="rId4" display="https://www.arera.it/"/>
    <hyperlink ref="D8" r:id="rId5" display="https://download.terna.it/terna/Report_Balancing_Terna_2022-2023_8dd1eb707541092.pdf"/>
    <hyperlink ref="D9" r:id="rId6" display="https://download.terna.it/terna/Allegato_A.83_8de83751781c717.pdf"/>
    <hyperlink ref="D10" r:id="rId7" display="https://www.terna.it/en/electric-system/publications/operators-news/detail/capacity-market-results-main-auction-2024"/>
    <hyperlink ref="D11" r:id="rId8" display="https://aegis.acer.europa.eu/chest/dataitems/403/view"/>
    <hyperlink ref="D12" r:id="rId9" display="https://magnusenergy.com/insights/developments-in-balancing-and-capacity-markets/"/>
    <hyperlink ref="D13" r:id="rId10" display="https://montel.energy/commentary/picasso-and-its-problems-italian-imbalance-issues"/>
    <hyperlink ref="D14" r:id="rId11" display="https://synertics.io/blog/153/key-projects-in-europes-ancillary-services-market-fcr-cooperation-picasso-mari-and-terre"/>
    <hyperlink ref="D15" r:id="rId12" display="https://reglobal.org/european-ancillary-services-markets-critical-role-of-fcr-and-other-cross-border-balancing-platforms/"/>
    <hyperlink ref="D16" r:id="rId13" display="https://www.lexology.com/library/detail.aspx?g=82e96f2e-e580-4d2e-baf8-6a8855c4b83f"/>
    <hyperlink ref="D17" r:id="rId14" display="https://www.energy-storage.news/italys-exceptionally-competitive-first-macse-energy-storage-auction-concludes-procuring-10gwh/"/>
    <hyperlink ref="D18" r:id="rId15" display="https://www.energy-storage.news/terna-is-the-big-winner-taking-stock-of-italys-macse-auction/"/>
    <hyperlink ref="D19" r:id="rId16" display="https://www.pv-magazine.com/2025/10/01/italys-first-macse-battery-auction-smashes-expectations-with-10-gwh-awarded-at-record-low-prices/"/>
    <hyperlink ref="D20" r:id="rId17" display="https://www.energy-storage.news/batteries-awarded-five-year-grid-services-contracts-in-italy-through-low-price-auction/"/>
    <hyperlink ref="D21" r:id="rId18" display="https://www.rse-web.it/wp-content/uploads/2024/05/08_MACSE-inglese.pdf"/>
    <hyperlink ref="D22" r:id="rId19" display="https://www.rse-web.it/wp-content/uploads/2024/05/09_TIDE_italiano.pdf"/>
    <hyperlink ref="D23" r:id="rId20" display="https://lightbox.terna.it/en/insight/tide-electricity-dispatching"/>
    <hyperlink ref="D24" r:id="rId21" display="https://transparency.entsoe.eu"/>
    <hyperlink ref="D25" r:id="rId22" display="https://www.mercatoelettrico.org/it/download/datistorici.aspx"/>
    <hyperlink ref="D26" r:id="rId23" display="https://www.rabobank.com/knowledge/d011473382-backup-power-for-europe-part-3-italy-s-bet-on-bess"/>
    <hyperlink ref="D27" r:id="rId24" display="https://greendealflow.com/italy-what-are-the-opportunities-beyond-macse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45"/>
    <col collapsed="false" customWidth="true" hidden="false" outlineLevel="0" max="4" min="3" style="0" width="16"/>
    <col collapsed="false" customWidth="true" hidden="false" outlineLevel="0" max="5" min="5" style="0" width="12"/>
    <col collapsed="false" customWidth="true" hidden="false" outlineLevel="0" max="6" min="6" style="0" width="50"/>
  </cols>
  <sheetData>
    <row r="1" customFormat="false" ht="27.75" hidden="false" customHeight="true" outlineLevel="0" collapsed="false">
      <c r="A1" s="9" t="s">
        <v>272</v>
      </c>
      <c r="B1" s="9"/>
      <c r="C1" s="9"/>
      <c r="D1" s="9"/>
      <c r="E1" s="9"/>
      <c r="F1" s="9"/>
    </row>
    <row r="2" customFormat="false" ht="36" hidden="false" customHeight="true" outlineLevel="0" collapsed="false">
      <c r="A2" s="16" t="s">
        <v>273</v>
      </c>
      <c r="B2" s="16"/>
      <c r="C2" s="16"/>
      <c r="D2" s="16"/>
      <c r="E2" s="16"/>
      <c r="F2" s="16"/>
    </row>
    <row r="4" customFormat="false" ht="23.85" hidden="false" customHeight="false" outlineLevel="0" collapsed="false">
      <c r="A4" s="5" t="s">
        <v>274</v>
      </c>
      <c r="B4" s="5" t="s">
        <v>275</v>
      </c>
      <c r="C4" s="5" t="s">
        <v>276</v>
      </c>
      <c r="D4" s="5" t="s">
        <v>277</v>
      </c>
      <c r="E4" s="5" t="s">
        <v>278</v>
      </c>
      <c r="F4" s="5" t="s">
        <v>279</v>
      </c>
    </row>
    <row r="5" customFormat="false" ht="49.5" hidden="false" customHeight="true" outlineLevel="0" collapsed="false">
      <c r="A5" s="18" t="s">
        <v>280</v>
      </c>
      <c r="B5" s="33" t="s">
        <v>281</v>
      </c>
      <c r="C5" s="34" t="n">
        <v>45</v>
      </c>
      <c r="D5" s="35" t="n">
        <v>50</v>
      </c>
      <c r="E5" s="15" t="s">
        <v>282</v>
      </c>
      <c r="F5" s="15" t="s">
        <v>283</v>
      </c>
    </row>
    <row r="6" customFormat="false" ht="49.5" hidden="false" customHeight="true" outlineLevel="0" collapsed="false">
      <c r="A6" s="18" t="s">
        <v>284</v>
      </c>
      <c r="B6" s="33" t="s">
        <v>285</v>
      </c>
      <c r="C6" s="34" t="n">
        <v>35</v>
      </c>
      <c r="D6" s="35" t="n">
        <v>25</v>
      </c>
      <c r="E6" s="15" t="s">
        <v>286</v>
      </c>
      <c r="F6" s="15" t="s">
        <v>287</v>
      </c>
    </row>
    <row r="7" customFormat="false" ht="49.5" hidden="false" customHeight="true" outlineLevel="0" collapsed="false">
      <c r="A7" s="18" t="s">
        <v>288</v>
      </c>
      <c r="B7" s="33" t="s">
        <v>289</v>
      </c>
      <c r="C7" s="34" t="n">
        <v>25</v>
      </c>
      <c r="D7" s="35" t="n">
        <v>12</v>
      </c>
      <c r="E7" s="15" t="s">
        <v>290</v>
      </c>
      <c r="F7" s="15" t="s">
        <v>291</v>
      </c>
    </row>
    <row r="8" customFormat="false" ht="49.5" hidden="false" customHeight="true" outlineLevel="0" collapsed="false">
      <c r="A8" s="18" t="s">
        <v>292</v>
      </c>
      <c r="B8" s="33" t="s">
        <v>293</v>
      </c>
      <c r="C8" s="34" t="n">
        <v>120</v>
      </c>
      <c r="D8" s="35" t="n">
        <v>100</v>
      </c>
      <c r="E8" s="15" t="s">
        <v>294</v>
      </c>
      <c r="F8" s="15" t="s">
        <v>295</v>
      </c>
    </row>
    <row r="9" customFormat="false" ht="49.5" hidden="false" customHeight="true" outlineLevel="0" collapsed="false">
      <c r="A9" s="18" t="s">
        <v>296</v>
      </c>
      <c r="B9" s="33" t="s">
        <v>297</v>
      </c>
      <c r="C9" s="34" t="n">
        <v>100</v>
      </c>
      <c r="D9" s="35" t="n">
        <v>250</v>
      </c>
      <c r="E9" s="15" t="s">
        <v>298</v>
      </c>
      <c r="F9" s="15" t="s">
        <v>299</v>
      </c>
    </row>
    <row r="10" customFormat="false" ht="49.5" hidden="false" customHeight="true" outlineLevel="0" collapsed="false">
      <c r="A10" s="18" t="s">
        <v>300</v>
      </c>
      <c r="B10" s="33" t="s">
        <v>301</v>
      </c>
      <c r="C10" s="34" t="n">
        <v>80</v>
      </c>
      <c r="D10" s="35" t="n">
        <v>180</v>
      </c>
      <c r="E10" s="15" t="s">
        <v>302</v>
      </c>
      <c r="F10" s="15" t="s">
        <v>303</v>
      </c>
    </row>
    <row r="11" customFormat="false" ht="49.5" hidden="false" customHeight="true" outlineLevel="0" collapsed="false">
      <c r="A11" s="18" t="s">
        <v>304</v>
      </c>
      <c r="B11" s="33" t="s">
        <v>305</v>
      </c>
      <c r="C11" s="34" t="n">
        <v>0.15</v>
      </c>
      <c r="D11" s="35" t="n">
        <v>0.1</v>
      </c>
      <c r="E11" s="15" t="s">
        <v>306</v>
      </c>
      <c r="F11" s="15" t="s">
        <v>307</v>
      </c>
    </row>
    <row r="12" customFormat="false" ht="49.5" hidden="false" customHeight="true" outlineLevel="0" collapsed="false">
      <c r="A12" s="18" t="s">
        <v>308</v>
      </c>
      <c r="B12" s="33" t="s">
        <v>309</v>
      </c>
      <c r="C12" s="34" t="n">
        <v>0.25</v>
      </c>
      <c r="D12" s="35" t="n">
        <v>0.3</v>
      </c>
      <c r="E12" s="15" t="s">
        <v>310</v>
      </c>
      <c r="F12" s="15" t="s">
        <v>311</v>
      </c>
    </row>
    <row r="13" customFormat="false" ht="49.5" hidden="false" customHeight="true" outlineLevel="0" collapsed="false">
      <c r="A13" s="18" t="s">
        <v>312</v>
      </c>
      <c r="B13" s="33" t="s">
        <v>313</v>
      </c>
      <c r="C13" s="34" t="n">
        <v>0.35</v>
      </c>
      <c r="D13" s="35" t="n">
        <v>0.2</v>
      </c>
      <c r="E13" s="15" t="s">
        <v>314</v>
      </c>
      <c r="F13" s="15" t="s">
        <v>315</v>
      </c>
    </row>
    <row r="16" customFormat="false" ht="15" hidden="false" customHeight="true" outlineLevel="0" collapsed="false">
      <c r="A16" s="4" t="s">
        <v>316</v>
      </c>
      <c r="B16" s="4"/>
      <c r="C16" s="4"/>
      <c r="D16" s="4"/>
      <c r="E16" s="4"/>
      <c r="F16" s="4"/>
    </row>
    <row r="17" customFormat="false" ht="18" hidden="false" customHeight="true" outlineLevel="0" collapsed="false">
      <c r="A17" s="31" t="s">
        <v>317</v>
      </c>
      <c r="B17" s="31"/>
      <c r="C17" s="31"/>
      <c r="D17" s="31"/>
      <c r="E17" s="31"/>
      <c r="F17" s="31"/>
    </row>
    <row r="18" customFormat="false" ht="18" hidden="false" customHeight="true" outlineLevel="0" collapsed="false">
      <c r="A18" s="31"/>
      <c r="B18" s="31"/>
      <c r="C18" s="31"/>
      <c r="D18" s="31"/>
      <c r="E18" s="31"/>
      <c r="F18" s="31"/>
    </row>
    <row r="19" customFormat="false" ht="18" hidden="false" customHeight="true" outlineLevel="0" collapsed="false">
      <c r="A19" s="31"/>
      <c r="B19" s="31"/>
      <c r="C19" s="31"/>
      <c r="D19" s="31"/>
      <c r="E19" s="31"/>
      <c r="F19" s="31"/>
    </row>
    <row r="20" customFormat="false" ht="18" hidden="false" customHeight="true" outlineLevel="0" collapsed="false">
      <c r="A20" s="31"/>
      <c r="B20" s="31"/>
      <c r="C20" s="31"/>
      <c r="D20" s="31"/>
      <c r="E20" s="31"/>
      <c r="F20" s="31"/>
    </row>
    <row r="21" customFormat="false" ht="18" hidden="false" customHeight="true" outlineLevel="0" collapsed="false">
      <c r="A21" s="31"/>
      <c r="B21" s="31"/>
      <c r="C21" s="31"/>
      <c r="D21" s="31"/>
      <c r="E21" s="31"/>
      <c r="F21" s="31"/>
    </row>
  </sheetData>
  <mergeCells count="4">
    <mergeCell ref="A1:F1"/>
    <mergeCell ref="A2:F2"/>
    <mergeCell ref="A16:F16"/>
    <mergeCell ref="A17:F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2026-05-22T13:38:38Z</dcterms:created>
  <dc:creator>openpyxl</dc:creator>
  <dc:description/>
  <dc:language>en-US</dc:language>
  <cp:lastModifiedBy/>
  <dcterms:modified xsi:type="dcterms:W3CDTF">2026-05-22T13:38:38Z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